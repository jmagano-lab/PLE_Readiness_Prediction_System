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94FE2A-0050-459E-923F-88C546D43C76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OVERALL RESULT" sheetId="1" r:id="rId1"/>
    <sheet name="DIAGNOSTIC EXAMINATION" sheetId="3" r:id="rId2"/>
    <sheet name="PROGRESS EVALUATION" sheetId="4" r:id="rId3"/>
    <sheet name="MOCK BOARDS" sheetId="5" r:id="rId4"/>
    <sheet name="POS TEST RESULT WEIGHTED" sheetId="2" r:id="rId5"/>
    <sheet name="POST TEST 1" sheetId="7" r:id="rId6"/>
    <sheet name="POST TEST 2" sheetId="8" r:id="rId7"/>
    <sheet name="PRE TEST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6" i="2" l="1"/>
  <c r="B261" i="8" l="1"/>
  <c r="M251" i="8"/>
  <c r="L251" i="8"/>
  <c r="K251" i="8"/>
  <c r="J251" i="8"/>
  <c r="I251" i="8"/>
  <c r="H251" i="8"/>
  <c r="G251" i="8"/>
  <c r="F251" i="8"/>
  <c r="E251" i="8"/>
  <c r="D251" i="8"/>
  <c r="C251" i="8"/>
  <c r="B251" i="8"/>
  <c r="M248" i="8"/>
  <c r="M261" i="8" s="1"/>
  <c r="L248" i="8"/>
  <c r="L261" i="8" s="1"/>
  <c r="K248" i="8"/>
  <c r="K261" i="8" s="1"/>
  <c r="J248" i="8"/>
  <c r="J261" i="8" s="1"/>
  <c r="I248" i="8"/>
  <c r="I261" i="8" s="1"/>
  <c r="H248" i="8"/>
  <c r="H261" i="8" s="1"/>
  <c r="G248" i="8"/>
  <c r="G261" i="8" s="1"/>
  <c r="F248" i="8"/>
  <c r="F261" i="8" s="1"/>
  <c r="E248" i="8"/>
  <c r="E261" i="8" s="1"/>
  <c r="D248" i="8"/>
  <c r="D261" i="8" s="1"/>
  <c r="C248" i="8"/>
  <c r="C261" i="8" s="1"/>
  <c r="B248" i="8"/>
  <c r="P244" i="8"/>
  <c r="Q244" i="8" s="1"/>
  <c r="R244" i="8" s="1"/>
  <c r="P243" i="8"/>
  <c r="Q243" i="8" s="1"/>
  <c r="R243" i="8" s="1"/>
  <c r="P242" i="8"/>
  <c r="Q242" i="8" s="1"/>
  <c r="R242" i="8" s="1"/>
  <c r="P241" i="8"/>
  <c r="Q241" i="8" s="1"/>
  <c r="R241" i="8" s="1"/>
  <c r="P240" i="8"/>
  <c r="Q240" i="8" s="1"/>
  <c r="R240" i="8" s="1"/>
  <c r="P239" i="8"/>
  <c r="Q239" i="8" s="1"/>
  <c r="R239" i="8" s="1"/>
  <c r="P238" i="8"/>
  <c r="Q238" i="8" s="1"/>
  <c r="R238" i="8" s="1"/>
  <c r="P237" i="8"/>
  <c r="Q237" i="8" s="1"/>
  <c r="R237" i="8" s="1"/>
  <c r="P236" i="8"/>
  <c r="Q236" i="8" s="1"/>
  <c r="R236" i="8" s="1"/>
  <c r="P235" i="8"/>
  <c r="Q235" i="8" s="1"/>
  <c r="R235" i="8" s="1"/>
  <c r="P234" i="8"/>
  <c r="Q234" i="8" s="1"/>
  <c r="R234" i="8" s="1"/>
  <c r="P233" i="8"/>
  <c r="Q233" i="8" s="1"/>
  <c r="R233" i="8" s="1"/>
  <c r="P232" i="8"/>
  <c r="Q232" i="8" s="1"/>
  <c r="R232" i="8" s="1"/>
  <c r="P231" i="8"/>
  <c r="Q231" i="8" s="1"/>
  <c r="R231" i="8" s="1"/>
  <c r="P230" i="8"/>
  <c r="Q230" i="8" s="1"/>
  <c r="R230" i="8" s="1"/>
  <c r="P229" i="8"/>
  <c r="Q229" i="8" s="1"/>
  <c r="R229" i="8" s="1"/>
  <c r="P228" i="8"/>
  <c r="Q228" i="8" s="1"/>
  <c r="R228" i="8" s="1"/>
  <c r="P227" i="8"/>
  <c r="Q227" i="8" s="1"/>
  <c r="R227" i="8" s="1"/>
  <c r="P226" i="8"/>
  <c r="Q226" i="8" s="1"/>
  <c r="R226" i="8" s="1"/>
  <c r="P225" i="8"/>
  <c r="Q225" i="8" s="1"/>
  <c r="R225" i="8" s="1"/>
  <c r="P224" i="8"/>
  <c r="Q224" i="8" s="1"/>
  <c r="R224" i="8" s="1"/>
  <c r="P223" i="8"/>
  <c r="Q223" i="8" s="1"/>
  <c r="R223" i="8" s="1"/>
  <c r="P222" i="8"/>
  <c r="Q222" i="8" s="1"/>
  <c r="R222" i="8" s="1"/>
  <c r="P221" i="8"/>
  <c r="Q221" i="8" s="1"/>
  <c r="R221" i="8" s="1"/>
  <c r="P220" i="8"/>
  <c r="Q220" i="8" s="1"/>
  <c r="R220" i="8" s="1"/>
  <c r="P219" i="8"/>
  <c r="Q219" i="8" s="1"/>
  <c r="R219" i="8" s="1"/>
  <c r="P218" i="8"/>
  <c r="Q218" i="8" s="1"/>
  <c r="R218" i="8" s="1"/>
  <c r="P217" i="8"/>
  <c r="Q217" i="8" s="1"/>
  <c r="R217" i="8" s="1"/>
  <c r="P216" i="8"/>
  <c r="Q216" i="8" s="1"/>
  <c r="R216" i="8" s="1"/>
  <c r="P215" i="8"/>
  <c r="Q215" i="8" s="1"/>
  <c r="R215" i="8" s="1"/>
  <c r="P214" i="8"/>
  <c r="Q214" i="8" s="1"/>
  <c r="R214" i="8" s="1"/>
  <c r="P213" i="8"/>
  <c r="Q213" i="8" s="1"/>
  <c r="R213" i="8" s="1"/>
  <c r="P212" i="8"/>
  <c r="Q212" i="8" s="1"/>
  <c r="R212" i="8" s="1"/>
  <c r="P211" i="8"/>
  <c r="Q211" i="8" s="1"/>
  <c r="R211" i="8" s="1"/>
  <c r="P210" i="8"/>
  <c r="Q210" i="8" s="1"/>
  <c r="R210" i="8" s="1"/>
  <c r="P209" i="8"/>
  <c r="Q209" i="8" s="1"/>
  <c r="R209" i="8" s="1"/>
  <c r="P208" i="8"/>
  <c r="Q208" i="8" s="1"/>
  <c r="R208" i="8" s="1"/>
  <c r="P207" i="8"/>
  <c r="Q207" i="8" s="1"/>
  <c r="R207" i="8" s="1"/>
  <c r="P206" i="8"/>
  <c r="Q206" i="8" s="1"/>
  <c r="R206" i="8" s="1"/>
  <c r="P205" i="8"/>
  <c r="Q205" i="8" s="1"/>
  <c r="R205" i="8" s="1"/>
  <c r="P204" i="8"/>
  <c r="Q204" i="8" s="1"/>
  <c r="R204" i="8" s="1"/>
  <c r="P203" i="8"/>
  <c r="Q203" i="8" s="1"/>
  <c r="R203" i="8" s="1"/>
  <c r="P202" i="8"/>
  <c r="Q202" i="8" s="1"/>
  <c r="R202" i="8" s="1"/>
  <c r="P201" i="8"/>
  <c r="Q201" i="8" s="1"/>
  <c r="R201" i="8" s="1"/>
  <c r="P200" i="8"/>
  <c r="Q200" i="8" s="1"/>
  <c r="R200" i="8" s="1"/>
  <c r="P199" i="8"/>
  <c r="Q199" i="8" s="1"/>
  <c r="R199" i="8" s="1"/>
  <c r="P198" i="8"/>
  <c r="Q198" i="8" s="1"/>
  <c r="R198" i="8" s="1"/>
  <c r="P197" i="8"/>
  <c r="Q197" i="8" s="1"/>
  <c r="R197" i="8" s="1"/>
  <c r="P196" i="8"/>
  <c r="Q196" i="8" s="1"/>
  <c r="R196" i="8" s="1"/>
  <c r="P195" i="8"/>
  <c r="Q195" i="8" s="1"/>
  <c r="R195" i="8" s="1"/>
  <c r="P194" i="8"/>
  <c r="Q194" i="8" s="1"/>
  <c r="R194" i="8" s="1"/>
  <c r="P193" i="8"/>
  <c r="Q193" i="8" s="1"/>
  <c r="R193" i="8" s="1"/>
  <c r="P192" i="8"/>
  <c r="Q192" i="8" s="1"/>
  <c r="R192" i="8" s="1"/>
  <c r="P191" i="8"/>
  <c r="Q191" i="8" s="1"/>
  <c r="R191" i="8" s="1"/>
  <c r="P190" i="8"/>
  <c r="Q190" i="8" s="1"/>
  <c r="R190" i="8" s="1"/>
  <c r="P189" i="8"/>
  <c r="Q189" i="8" s="1"/>
  <c r="R189" i="8" s="1"/>
  <c r="P188" i="8"/>
  <c r="Q188" i="8" s="1"/>
  <c r="R188" i="8" s="1"/>
  <c r="P187" i="8"/>
  <c r="Q187" i="8" s="1"/>
  <c r="R187" i="8" s="1"/>
  <c r="P186" i="8"/>
  <c r="Q186" i="8" s="1"/>
  <c r="R186" i="8" s="1"/>
  <c r="P185" i="8"/>
  <c r="Q185" i="8" s="1"/>
  <c r="R185" i="8" s="1"/>
  <c r="P184" i="8"/>
  <c r="Q184" i="8" s="1"/>
  <c r="R184" i="8" s="1"/>
  <c r="P183" i="8"/>
  <c r="Q183" i="8" s="1"/>
  <c r="R183" i="8" s="1"/>
  <c r="P182" i="8"/>
  <c r="Q182" i="8" s="1"/>
  <c r="R182" i="8" s="1"/>
  <c r="P181" i="8"/>
  <c r="Q181" i="8" s="1"/>
  <c r="R181" i="8" s="1"/>
  <c r="P180" i="8"/>
  <c r="Q180" i="8" s="1"/>
  <c r="R180" i="8" s="1"/>
  <c r="P179" i="8"/>
  <c r="Q179" i="8" s="1"/>
  <c r="R179" i="8" s="1"/>
  <c r="P178" i="8"/>
  <c r="Q178" i="8" s="1"/>
  <c r="R178" i="8" s="1"/>
  <c r="P177" i="8"/>
  <c r="Q177" i="8" s="1"/>
  <c r="R177" i="8" s="1"/>
  <c r="P176" i="8"/>
  <c r="Q176" i="8" s="1"/>
  <c r="R176" i="8" s="1"/>
  <c r="P175" i="8"/>
  <c r="Q175" i="8" s="1"/>
  <c r="R175" i="8" s="1"/>
  <c r="P174" i="8"/>
  <c r="Q174" i="8" s="1"/>
  <c r="R174" i="8" s="1"/>
  <c r="P173" i="8"/>
  <c r="Q173" i="8" s="1"/>
  <c r="R173" i="8" s="1"/>
  <c r="P172" i="8"/>
  <c r="Q172" i="8" s="1"/>
  <c r="R172" i="8" s="1"/>
  <c r="P171" i="8"/>
  <c r="Q171" i="8" s="1"/>
  <c r="R171" i="8" s="1"/>
  <c r="P170" i="8"/>
  <c r="Q170" i="8" s="1"/>
  <c r="R170" i="8" s="1"/>
  <c r="P169" i="8"/>
  <c r="Q169" i="8" s="1"/>
  <c r="R169" i="8" s="1"/>
  <c r="P168" i="8"/>
  <c r="Q168" i="8" s="1"/>
  <c r="R168" i="8" s="1"/>
  <c r="P167" i="8"/>
  <c r="Q167" i="8" s="1"/>
  <c r="R167" i="8" s="1"/>
  <c r="P166" i="8"/>
  <c r="Q166" i="8" s="1"/>
  <c r="R166" i="8" s="1"/>
  <c r="P165" i="8"/>
  <c r="Q165" i="8" s="1"/>
  <c r="R165" i="8" s="1"/>
  <c r="P164" i="8"/>
  <c r="Q164" i="8" s="1"/>
  <c r="R164" i="8" s="1"/>
  <c r="P163" i="8"/>
  <c r="Q163" i="8" s="1"/>
  <c r="R163" i="8" s="1"/>
  <c r="P162" i="8"/>
  <c r="Q162" i="8" s="1"/>
  <c r="R162" i="8" s="1"/>
  <c r="P161" i="8"/>
  <c r="Q161" i="8" s="1"/>
  <c r="R161" i="8" s="1"/>
  <c r="P160" i="8"/>
  <c r="Q160" i="8" s="1"/>
  <c r="R160" i="8" s="1"/>
  <c r="P159" i="8"/>
  <c r="Q159" i="8" s="1"/>
  <c r="R159" i="8" s="1"/>
  <c r="P158" i="8"/>
  <c r="Q158" i="8" s="1"/>
  <c r="R158" i="8" s="1"/>
  <c r="P157" i="8"/>
  <c r="Q157" i="8" s="1"/>
  <c r="R157" i="8" s="1"/>
  <c r="P156" i="8"/>
  <c r="Q156" i="8" s="1"/>
  <c r="R156" i="8" s="1"/>
  <c r="P155" i="8"/>
  <c r="Q155" i="8" s="1"/>
  <c r="R155" i="8" s="1"/>
  <c r="P154" i="8"/>
  <c r="Q154" i="8" s="1"/>
  <c r="R154" i="8" s="1"/>
  <c r="P153" i="8"/>
  <c r="Q153" i="8" s="1"/>
  <c r="R153" i="8" s="1"/>
  <c r="P152" i="8"/>
  <c r="Q152" i="8" s="1"/>
  <c r="R152" i="8" s="1"/>
  <c r="P151" i="8"/>
  <c r="Q151" i="8" s="1"/>
  <c r="R151" i="8" s="1"/>
  <c r="P150" i="8"/>
  <c r="Q150" i="8" s="1"/>
  <c r="R150" i="8" s="1"/>
  <c r="P149" i="8"/>
  <c r="Q149" i="8" s="1"/>
  <c r="R149" i="8" s="1"/>
  <c r="P148" i="8"/>
  <c r="Q148" i="8" s="1"/>
  <c r="R148" i="8" s="1"/>
  <c r="P147" i="8"/>
  <c r="Q147" i="8" s="1"/>
  <c r="R147" i="8" s="1"/>
  <c r="P146" i="8"/>
  <c r="Q146" i="8" s="1"/>
  <c r="R146" i="8" s="1"/>
  <c r="P145" i="8"/>
  <c r="Q145" i="8" s="1"/>
  <c r="R145" i="8" s="1"/>
  <c r="P144" i="8"/>
  <c r="Q144" i="8" s="1"/>
  <c r="R144" i="8" s="1"/>
  <c r="P143" i="8"/>
  <c r="Q143" i="8" s="1"/>
  <c r="R143" i="8" s="1"/>
  <c r="P142" i="8"/>
  <c r="Q142" i="8" s="1"/>
  <c r="R142" i="8" s="1"/>
  <c r="P141" i="8"/>
  <c r="Q141" i="8" s="1"/>
  <c r="R141" i="8" s="1"/>
  <c r="P140" i="8"/>
  <c r="Q140" i="8" s="1"/>
  <c r="R140" i="8" s="1"/>
  <c r="P139" i="8"/>
  <c r="Q139" i="8" s="1"/>
  <c r="R139" i="8" s="1"/>
  <c r="P138" i="8"/>
  <c r="Q138" i="8" s="1"/>
  <c r="R138" i="8" s="1"/>
  <c r="P137" i="8"/>
  <c r="Q137" i="8" s="1"/>
  <c r="R137" i="8" s="1"/>
  <c r="P136" i="8"/>
  <c r="Q136" i="8" s="1"/>
  <c r="R136" i="8" s="1"/>
  <c r="P135" i="8"/>
  <c r="Q135" i="8" s="1"/>
  <c r="R135" i="8" s="1"/>
  <c r="P134" i="8"/>
  <c r="Q134" i="8" s="1"/>
  <c r="R134" i="8" s="1"/>
  <c r="P133" i="8"/>
  <c r="Q133" i="8" s="1"/>
  <c r="R133" i="8" s="1"/>
  <c r="P132" i="8"/>
  <c r="Q132" i="8" s="1"/>
  <c r="R132" i="8" s="1"/>
  <c r="P131" i="8"/>
  <c r="Q131" i="8" s="1"/>
  <c r="R131" i="8" s="1"/>
  <c r="P130" i="8"/>
  <c r="Q130" i="8" s="1"/>
  <c r="R130" i="8" s="1"/>
  <c r="P129" i="8"/>
  <c r="Q129" i="8" s="1"/>
  <c r="R129" i="8" s="1"/>
  <c r="P128" i="8"/>
  <c r="Q128" i="8" s="1"/>
  <c r="R128" i="8" s="1"/>
  <c r="P127" i="8"/>
  <c r="Q127" i="8" s="1"/>
  <c r="R127" i="8" s="1"/>
  <c r="P126" i="8"/>
  <c r="Q126" i="8" s="1"/>
  <c r="R126" i="8" s="1"/>
  <c r="P125" i="8"/>
  <c r="Q125" i="8" s="1"/>
  <c r="R125" i="8" s="1"/>
  <c r="P124" i="8"/>
  <c r="Q124" i="8" s="1"/>
  <c r="R124" i="8" s="1"/>
  <c r="P123" i="8"/>
  <c r="Q123" i="8" s="1"/>
  <c r="R123" i="8" s="1"/>
  <c r="P122" i="8"/>
  <c r="Q122" i="8" s="1"/>
  <c r="R122" i="8" s="1"/>
  <c r="P121" i="8"/>
  <c r="Q121" i="8" s="1"/>
  <c r="R121" i="8" s="1"/>
  <c r="P120" i="8"/>
  <c r="Q120" i="8" s="1"/>
  <c r="R120" i="8" s="1"/>
  <c r="P119" i="8"/>
  <c r="Q119" i="8" s="1"/>
  <c r="R119" i="8" s="1"/>
  <c r="P118" i="8"/>
  <c r="Q118" i="8" s="1"/>
  <c r="R118" i="8" s="1"/>
  <c r="P117" i="8"/>
  <c r="Q117" i="8" s="1"/>
  <c r="R117" i="8" s="1"/>
  <c r="P116" i="8"/>
  <c r="Q116" i="8" s="1"/>
  <c r="R116" i="8" s="1"/>
  <c r="P115" i="8"/>
  <c r="Q115" i="8" s="1"/>
  <c r="R115" i="8" s="1"/>
  <c r="P114" i="8"/>
  <c r="Q114" i="8" s="1"/>
  <c r="R114" i="8" s="1"/>
  <c r="P113" i="8"/>
  <c r="Q113" i="8" s="1"/>
  <c r="R113" i="8" s="1"/>
  <c r="P112" i="8"/>
  <c r="Q112" i="8" s="1"/>
  <c r="R112" i="8" s="1"/>
  <c r="P111" i="8"/>
  <c r="Q111" i="8" s="1"/>
  <c r="R111" i="8" s="1"/>
  <c r="P110" i="8"/>
  <c r="Q110" i="8" s="1"/>
  <c r="R110" i="8" s="1"/>
  <c r="P109" i="8"/>
  <c r="Q109" i="8" s="1"/>
  <c r="R109" i="8" s="1"/>
  <c r="P108" i="8"/>
  <c r="Q108" i="8" s="1"/>
  <c r="R108" i="8" s="1"/>
  <c r="P107" i="8"/>
  <c r="Q107" i="8" s="1"/>
  <c r="R107" i="8" s="1"/>
  <c r="P106" i="8"/>
  <c r="Q106" i="8" s="1"/>
  <c r="R106" i="8" s="1"/>
  <c r="P105" i="8"/>
  <c r="Q105" i="8" s="1"/>
  <c r="R105" i="8" s="1"/>
  <c r="P104" i="8"/>
  <c r="Q104" i="8" s="1"/>
  <c r="R104" i="8" s="1"/>
  <c r="P103" i="8"/>
  <c r="Q103" i="8" s="1"/>
  <c r="R103" i="8" s="1"/>
  <c r="P102" i="8"/>
  <c r="Q102" i="8" s="1"/>
  <c r="R102" i="8" s="1"/>
  <c r="P101" i="8"/>
  <c r="Q101" i="8" s="1"/>
  <c r="R101" i="8" s="1"/>
  <c r="P100" i="8"/>
  <c r="Q100" i="8" s="1"/>
  <c r="R100" i="8" s="1"/>
  <c r="P99" i="8"/>
  <c r="Q99" i="8" s="1"/>
  <c r="R99" i="8" s="1"/>
  <c r="P98" i="8"/>
  <c r="Q98" i="8" s="1"/>
  <c r="R98" i="8" s="1"/>
  <c r="P97" i="8"/>
  <c r="Q97" i="8" s="1"/>
  <c r="R97" i="8" s="1"/>
  <c r="P96" i="8"/>
  <c r="Q96" i="8" s="1"/>
  <c r="R96" i="8" s="1"/>
  <c r="P95" i="8"/>
  <c r="Q95" i="8" s="1"/>
  <c r="R95" i="8" s="1"/>
  <c r="P94" i="8"/>
  <c r="Q94" i="8" s="1"/>
  <c r="R94" i="8" s="1"/>
  <c r="P93" i="8"/>
  <c r="Q93" i="8" s="1"/>
  <c r="R93" i="8" s="1"/>
  <c r="P92" i="8"/>
  <c r="Q92" i="8" s="1"/>
  <c r="R92" i="8" s="1"/>
  <c r="P91" i="8"/>
  <c r="Q91" i="8" s="1"/>
  <c r="R91" i="8" s="1"/>
  <c r="P90" i="8"/>
  <c r="Q90" i="8" s="1"/>
  <c r="R90" i="8" s="1"/>
  <c r="P89" i="8"/>
  <c r="Q89" i="8" s="1"/>
  <c r="R89" i="8" s="1"/>
  <c r="P88" i="8"/>
  <c r="Q88" i="8" s="1"/>
  <c r="R88" i="8" s="1"/>
  <c r="P87" i="8"/>
  <c r="Q87" i="8" s="1"/>
  <c r="R87" i="8" s="1"/>
  <c r="P86" i="8"/>
  <c r="Q86" i="8" s="1"/>
  <c r="R86" i="8" s="1"/>
  <c r="P85" i="8"/>
  <c r="Q85" i="8" s="1"/>
  <c r="R85" i="8" s="1"/>
  <c r="P84" i="8"/>
  <c r="Q84" i="8" s="1"/>
  <c r="R84" i="8" s="1"/>
  <c r="P83" i="8"/>
  <c r="Q83" i="8" s="1"/>
  <c r="R83" i="8" s="1"/>
  <c r="P82" i="8"/>
  <c r="Q82" i="8" s="1"/>
  <c r="R82" i="8" s="1"/>
  <c r="P81" i="8"/>
  <c r="Q81" i="8" s="1"/>
  <c r="R81" i="8" s="1"/>
  <c r="P80" i="8"/>
  <c r="Q80" i="8" s="1"/>
  <c r="R80" i="8" s="1"/>
  <c r="P79" i="8"/>
  <c r="Q79" i="8" s="1"/>
  <c r="R79" i="8" s="1"/>
  <c r="P78" i="8"/>
  <c r="Q78" i="8" s="1"/>
  <c r="R78" i="8" s="1"/>
  <c r="P77" i="8"/>
  <c r="Q77" i="8" s="1"/>
  <c r="R77" i="8" s="1"/>
  <c r="P76" i="8"/>
  <c r="Q76" i="8" s="1"/>
  <c r="R76" i="8" s="1"/>
  <c r="P75" i="8"/>
  <c r="Q75" i="8" s="1"/>
  <c r="R75" i="8" s="1"/>
  <c r="P74" i="8"/>
  <c r="Q74" i="8" s="1"/>
  <c r="R74" i="8" s="1"/>
  <c r="P73" i="8"/>
  <c r="Q73" i="8" s="1"/>
  <c r="R73" i="8" s="1"/>
  <c r="P72" i="8"/>
  <c r="Q72" i="8" s="1"/>
  <c r="R72" i="8" s="1"/>
  <c r="P71" i="8"/>
  <c r="Q71" i="8" s="1"/>
  <c r="R71" i="8" s="1"/>
  <c r="P70" i="8"/>
  <c r="Q70" i="8" s="1"/>
  <c r="R70" i="8" s="1"/>
  <c r="P69" i="8"/>
  <c r="Q69" i="8" s="1"/>
  <c r="R69" i="8" s="1"/>
  <c r="P68" i="8"/>
  <c r="Q68" i="8" s="1"/>
  <c r="R68" i="8" s="1"/>
  <c r="P67" i="8"/>
  <c r="Q67" i="8" s="1"/>
  <c r="R67" i="8" s="1"/>
  <c r="P66" i="8"/>
  <c r="Q66" i="8" s="1"/>
  <c r="R66" i="8" s="1"/>
  <c r="P65" i="8"/>
  <c r="Q65" i="8" s="1"/>
  <c r="R65" i="8" s="1"/>
  <c r="P64" i="8"/>
  <c r="Q64" i="8" s="1"/>
  <c r="R64" i="8" s="1"/>
  <c r="P63" i="8"/>
  <c r="Q63" i="8" s="1"/>
  <c r="R63" i="8" s="1"/>
  <c r="P62" i="8"/>
  <c r="Q62" i="8" s="1"/>
  <c r="R62" i="8" s="1"/>
  <c r="P61" i="8"/>
  <c r="Q61" i="8" s="1"/>
  <c r="R61" i="8" s="1"/>
  <c r="P60" i="8"/>
  <c r="Q60" i="8" s="1"/>
  <c r="R60" i="8" s="1"/>
  <c r="P59" i="8"/>
  <c r="Q59" i="8" s="1"/>
  <c r="R59" i="8" s="1"/>
  <c r="P58" i="8"/>
  <c r="Q58" i="8" s="1"/>
  <c r="R58" i="8" s="1"/>
  <c r="P57" i="8"/>
  <c r="Q57" i="8" s="1"/>
  <c r="R57" i="8" s="1"/>
  <c r="P56" i="8"/>
  <c r="Q56" i="8" s="1"/>
  <c r="R56" i="8" s="1"/>
  <c r="P55" i="8"/>
  <c r="Q55" i="8" s="1"/>
  <c r="R55" i="8" s="1"/>
  <c r="P54" i="8"/>
  <c r="Q54" i="8" s="1"/>
  <c r="R54" i="8" s="1"/>
  <c r="P53" i="8"/>
  <c r="Q53" i="8" s="1"/>
  <c r="R53" i="8" s="1"/>
  <c r="P52" i="8"/>
  <c r="Q52" i="8" s="1"/>
  <c r="R52" i="8" s="1"/>
  <c r="P51" i="8"/>
  <c r="Q51" i="8" s="1"/>
  <c r="R51" i="8" s="1"/>
  <c r="P50" i="8"/>
  <c r="Q50" i="8" s="1"/>
  <c r="R50" i="8" s="1"/>
  <c r="P49" i="8"/>
  <c r="Q49" i="8" s="1"/>
  <c r="R49" i="8" s="1"/>
  <c r="P48" i="8"/>
  <c r="Q48" i="8" s="1"/>
  <c r="R48" i="8" s="1"/>
  <c r="P47" i="8"/>
  <c r="Q47" i="8" s="1"/>
  <c r="R47" i="8" s="1"/>
  <c r="P46" i="8"/>
  <c r="Q46" i="8" s="1"/>
  <c r="R46" i="8" s="1"/>
  <c r="P45" i="8"/>
  <c r="Q45" i="8" s="1"/>
  <c r="R45" i="8" s="1"/>
  <c r="P44" i="8"/>
  <c r="Q44" i="8" s="1"/>
  <c r="R44" i="8" s="1"/>
  <c r="P43" i="8"/>
  <c r="Q43" i="8" s="1"/>
  <c r="R43" i="8" s="1"/>
  <c r="P42" i="8"/>
  <c r="Q42" i="8" s="1"/>
  <c r="R42" i="8" s="1"/>
  <c r="P41" i="8"/>
  <c r="Q41" i="8" s="1"/>
  <c r="R41" i="8" s="1"/>
  <c r="P40" i="8"/>
  <c r="Q40" i="8" s="1"/>
  <c r="R40" i="8" s="1"/>
  <c r="P39" i="8"/>
  <c r="Q39" i="8" s="1"/>
  <c r="R39" i="8" s="1"/>
  <c r="P38" i="8"/>
  <c r="Q38" i="8" s="1"/>
  <c r="R38" i="8" s="1"/>
  <c r="P37" i="8"/>
  <c r="Q37" i="8" s="1"/>
  <c r="R37" i="8" s="1"/>
  <c r="P36" i="8"/>
  <c r="Q36" i="8" s="1"/>
  <c r="R36" i="8" s="1"/>
  <c r="P35" i="8"/>
  <c r="Q35" i="8" s="1"/>
  <c r="R35" i="8" s="1"/>
  <c r="P34" i="8"/>
  <c r="Q34" i="8" s="1"/>
  <c r="R34" i="8" s="1"/>
  <c r="P33" i="8"/>
  <c r="Q33" i="8" s="1"/>
  <c r="R33" i="8" s="1"/>
  <c r="P32" i="8"/>
  <c r="Q32" i="8" s="1"/>
  <c r="R32" i="8" s="1"/>
  <c r="P31" i="8"/>
  <c r="Q31" i="8" s="1"/>
  <c r="R31" i="8" s="1"/>
  <c r="P30" i="8"/>
  <c r="Q30" i="8" s="1"/>
  <c r="R30" i="8" s="1"/>
  <c r="P29" i="8"/>
  <c r="Q29" i="8" s="1"/>
  <c r="R29" i="8" s="1"/>
  <c r="P28" i="8"/>
  <c r="Q28" i="8" s="1"/>
  <c r="R28" i="8" s="1"/>
  <c r="P27" i="8"/>
  <c r="Q27" i="8" s="1"/>
  <c r="R27" i="8" s="1"/>
  <c r="P26" i="8"/>
  <c r="Q26" i="8" s="1"/>
  <c r="R26" i="8" s="1"/>
  <c r="P25" i="8"/>
  <c r="Q25" i="8" s="1"/>
  <c r="R25" i="8" s="1"/>
  <c r="P24" i="8"/>
  <c r="Q24" i="8" s="1"/>
  <c r="R24" i="8" s="1"/>
  <c r="P23" i="8"/>
  <c r="Q23" i="8" s="1"/>
  <c r="R23" i="8" s="1"/>
  <c r="P22" i="8"/>
  <c r="Q22" i="8" s="1"/>
  <c r="R22" i="8" s="1"/>
  <c r="P21" i="8"/>
  <c r="Q21" i="8" s="1"/>
  <c r="R21" i="8" s="1"/>
  <c r="P20" i="8"/>
  <c r="Q20" i="8" s="1"/>
  <c r="R20" i="8" s="1"/>
  <c r="P19" i="8"/>
  <c r="Q19" i="8" s="1"/>
  <c r="R19" i="8" s="1"/>
  <c r="P18" i="8"/>
  <c r="Q18" i="8" s="1"/>
  <c r="R18" i="8" s="1"/>
  <c r="P17" i="8"/>
  <c r="Q17" i="8" s="1"/>
  <c r="R17" i="8" s="1"/>
  <c r="P16" i="8"/>
  <c r="Q16" i="8" s="1"/>
  <c r="R16" i="8" s="1"/>
  <c r="P15" i="8"/>
  <c r="Q15" i="8" s="1"/>
  <c r="R15" i="8" s="1"/>
  <c r="P14" i="8"/>
  <c r="Q14" i="8" s="1"/>
  <c r="R14" i="8" s="1"/>
  <c r="P13" i="8"/>
  <c r="Q13" i="8" s="1"/>
  <c r="R13" i="8" s="1"/>
  <c r="P12" i="8"/>
  <c r="Q12" i="8" s="1"/>
  <c r="R12" i="8" s="1"/>
  <c r="P11" i="8"/>
  <c r="Q11" i="8" s="1"/>
  <c r="R11" i="8" s="1"/>
  <c r="P10" i="8"/>
  <c r="Q10" i="8" s="1"/>
  <c r="R10" i="8" s="1"/>
  <c r="P9" i="8"/>
  <c r="Q9" i="8" s="1"/>
  <c r="R9" i="8" s="1"/>
  <c r="P8" i="8"/>
  <c r="Q8" i="8" s="1"/>
  <c r="R8" i="8" s="1"/>
  <c r="P7" i="8"/>
  <c r="Q7" i="8" s="1"/>
  <c r="R7" i="8" s="1"/>
  <c r="P6" i="8"/>
  <c r="Q6" i="8" s="1"/>
  <c r="R6" i="8" s="1"/>
  <c r="P5" i="8"/>
  <c r="Q5" i="8" s="1"/>
  <c r="R5" i="8" s="1"/>
  <c r="P4" i="8"/>
  <c r="Q4" i="8" s="1"/>
  <c r="R4" i="8" s="1"/>
  <c r="P3" i="8"/>
  <c r="Q3" i="8" s="1"/>
  <c r="R3" i="8" s="1"/>
  <c r="P2" i="8"/>
  <c r="Q2" i="8" s="1"/>
  <c r="R2" i="8" s="1"/>
  <c r="N244" i="7" l="1"/>
  <c r="M244" i="7"/>
  <c r="L244" i="7"/>
  <c r="K244" i="7"/>
  <c r="J244" i="7"/>
  <c r="I244" i="7"/>
  <c r="H244" i="7"/>
  <c r="G244" i="7"/>
  <c r="F244" i="7"/>
  <c r="E244" i="7"/>
  <c r="D244" i="7"/>
  <c r="C244" i="7"/>
  <c r="Q228" i="7"/>
  <c r="R228" i="7" s="1"/>
  <c r="S228" i="7" s="1"/>
  <c r="Q227" i="7"/>
  <c r="R227" i="7" s="1"/>
  <c r="S227" i="7" s="1"/>
  <c r="Q226" i="7"/>
  <c r="R226" i="7" s="1"/>
  <c r="S226" i="7" s="1"/>
  <c r="Q225" i="7"/>
  <c r="R225" i="7" s="1"/>
  <c r="S225" i="7" s="1"/>
  <c r="Q224" i="7"/>
  <c r="R224" i="7" s="1"/>
  <c r="S224" i="7" s="1"/>
  <c r="Q223" i="7"/>
  <c r="R223" i="7" s="1"/>
  <c r="S223" i="7" s="1"/>
  <c r="Q222" i="7"/>
  <c r="R222" i="7" s="1"/>
  <c r="S222" i="7" s="1"/>
  <c r="Q221" i="7"/>
  <c r="R221" i="7" s="1"/>
  <c r="S221" i="7" s="1"/>
  <c r="Q220" i="7"/>
  <c r="R220" i="7" s="1"/>
  <c r="S220" i="7" s="1"/>
  <c r="Q219" i="7"/>
  <c r="R219" i="7" s="1"/>
  <c r="S219" i="7" s="1"/>
  <c r="Q218" i="7"/>
  <c r="R218" i="7" s="1"/>
  <c r="S218" i="7" s="1"/>
  <c r="Q217" i="7"/>
  <c r="R217" i="7" s="1"/>
  <c r="S217" i="7" s="1"/>
  <c r="Q216" i="7"/>
  <c r="R216" i="7" s="1"/>
  <c r="S216" i="7" s="1"/>
  <c r="Q215" i="7"/>
  <c r="R215" i="7" s="1"/>
  <c r="S215" i="7" s="1"/>
  <c r="Q214" i="7"/>
  <c r="R214" i="7" s="1"/>
  <c r="S214" i="7" s="1"/>
  <c r="Q213" i="7"/>
  <c r="R213" i="7" s="1"/>
  <c r="S213" i="7" s="1"/>
  <c r="Q212" i="7"/>
  <c r="R212" i="7" s="1"/>
  <c r="S212" i="7" s="1"/>
  <c r="Q211" i="7"/>
  <c r="R211" i="7" s="1"/>
  <c r="S211" i="7" s="1"/>
  <c r="Q210" i="7"/>
  <c r="R210" i="7" s="1"/>
  <c r="S210" i="7" s="1"/>
  <c r="Q209" i="7"/>
  <c r="R209" i="7" s="1"/>
  <c r="S209" i="7" s="1"/>
  <c r="Q208" i="7"/>
  <c r="R208" i="7" s="1"/>
  <c r="S208" i="7" s="1"/>
  <c r="Q207" i="7"/>
  <c r="R207" i="7" s="1"/>
  <c r="S207" i="7" s="1"/>
  <c r="Q206" i="7"/>
  <c r="R206" i="7" s="1"/>
  <c r="S206" i="7" s="1"/>
  <c r="Q205" i="7"/>
  <c r="R205" i="7" s="1"/>
  <c r="S205" i="7" s="1"/>
  <c r="Q204" i="7"/>
  <c r="R204" i="7" s="1"/>
  <c r="S204" i="7" s="1"/>
  <c r="Q203" i="7"/>
  <c r="R203" i="7" s="1"/>
  <c r="S203" i="7" s="1"/>
  <c r="Q202" i="7"/>
  <c r="R202" i="7" s="1"/>
  <c r="S202" i="7" s="1"/>
  <c r="Q201" i="7"/>
  <c r="R201" i="7" s="1"/>
  <c r="S201" i="7" s="1"/>
  <c r="Q200" i="7"/>
  <c r="R200" i="7" s="1"/>
  <c r="S200" i="7" s="1"/>
  <c r="Q199" i="7"/>
  <c r="R199" i="7" s="1"/>
  <c r="S199" i="7" s="1"/>
  <c r="Q198" i="7"/>
  <c r="R198" i="7" s="1"/>
  <c r="S198" i="7" s="1"/>
  <c r="Q197" i="7"/>
  <c r="R197" i="7" s="1"/>
  <c r="S197" i="7" s="1"/>
  <c r="Q196" i="7"/>
  <c r="R196" i="7" s="1"/>
  <c r="S196" i="7" s="1"/>
  <c r="Q195" i="7"/>
  <c r="R195" i="7" s="1"/>
  <c r="S195" i="7" s="1"/>
  <c r="Q194" i="7"/>
  <c r="R194" i="7" s="1"/>
  <c r="S194" i="7" s="1"/>
  <c r="Q193" i="7"/>
  <c r="R193" i="7" s="1"/>
  <c r="S193" i="7" s="1"/>
  <c r="Q192" i="7"/>
  <c r="R192" i="7" s="1"/>
  <c r="S192" i="7" s="1"/>
  <c r="Q191" i="7"/>
  <c r="R191" i="7" s="1"/>
  <c r="S191" i="7" s="1"/>
  <c r="Q190" i="7"/>
  <c r="R190" i="7" s="1"/>
  <c r="S190" i="7" s="1"/>
  <c r="Q189" i="7"/>
  <c r="R189" i="7" s="1"/>
  <c r="S189" i="7" s="1"/>
  <c r="Q188" i="7"/>
  <c r="R188" i="7" s="1"/>
  <c r="S188" i="7" s="1"/>
  <c r="Q187" i="7"/>
  <c r="R187" i="7" s="1"/>
  <c r="S187" i="7" s="1"/>
  <c r="Q186" i="7"/>
  <c r="R186" i="7" s="1"/>
  <c r="S186" i="7" s="1"/>
  <c r="Q185" i="7"/>
  <c r="R185" i="7" s="1"/>
  <c r="S185" i="7" s="1"/>
  <c r="Q184" i="7"/>
  <c r="R184" i="7" s="1"/>
  <c r="S184" i="7" s="1"/>
  <c r="Q183" i="7"/>
  <c r="R183" i="7" s="1"/>
  <c r="S183" i="7" s="1"/>
  <c r="Q182" i="7"/>
  <c r="R182" i="7" s="1"/>
  <c r="S182" i="7" s="1"/>
  <c r="Q181" i="7"/>
  <c r="R181" i="7" s="1"/>
  <c r="S181" i="7" s="1"/>
  <c r="Q180" i="7"/>
  <c r="R180" i="7" s="1"/>
  <c r="S180" i="7" s="1"/>
  <c r="Q179" i="7"/>
  <c r="R179" i="7" s="1"/>
  <c r="S179" i="7" s="1"/>
  <c r="Q178" i="7"/>
  <c r="R178" i="7" s="1"/>
  <c r="S178" i="7" s="1"/>
  <c r="Q177" i="7"/>
  <c r="R177" i="7" s="1"/>
  <c r="S177" i="7" s="1"/>
  <c r="Q176" i="7"/>
  <c r="R176" i="7" s="1"/>
  <c r="S176" i="7" s="1"/>
  <c r="Q175" i="7"/>
  <c r="R175" i="7" s="1"/>
  <c r="S175" i="7" s="1"/>
  <c r="Q174" i="7"/>
  <c r="R174" i="7" s="1"/>
  <c r="S174" i="7" s="1"/>
  <c r="Q173" i="7"/>
  <c r="R173" i="7" s="1"/>
  <c r="S173" i="7" s="1"/>
  <c r="Q172" i="7"/>
  <c r="R172" i="7" s="1"/>
  <c r="S172" i="7" s="1"/>
  <c r="Q171" i="7"/>
  <c r="R171" i="7" s="1"/>
  <c r="S171" i="7" s="1"/>
  <c r="Q170" i="7"/>
  <c r="R170" i="7" s="1"/>
  <c r="S170" i="7" s="1"/>
  <c r="Q169" i="7"/>
  <c r="R169" i="7" s="1"/>
  <c r="S169" i="7" s="1"/>
  <c r="Q168" i="7"/>
  <c r="R168" i="7" s="1"/>
  <c r="S168" i="7" s="1"/>
  <c r="Q167" i="7"/>
  <c r="R167" i="7" s="1"/>
  <c r="S167" i="7" s="1"/>
  <c r="Q166" i="7"/>
  <c r="R166" i="7" s="1"/>
  <c r="S166" i="7" s="1"/>
  <c r="Q165" i="7"/>
  <c r="R165" i="7" s="1"/>
  <c r="S165" i="7" s="1"/>
  <c r="Q164" i="7"/>
  <c r="R164" i="7" s="1"/>
  <c r="S164" i="7" s="1"/>
  <c r="Q163" i="7"/>
  <c r="R163" i="7" s="1"/>
  <c r="S163" i="7" s="1"/>
  <c r="Q162" i="7"/>
  <c r="R162" i="7" s="1"/>
  <c r="S162" i="7" s="1"/>
  <c r="Q161" i="7"/>
  <c r="R161" i="7" s="1"/>
  <c r="S161" i="7" s="1"/>
  <c r="Q160" i="7"/>
  <c r="R160" i="7" s="1"/>
  <c r="S160" i="7" s="1"/>
  <c r="Q159" i="7"/>
  <c r="R159" i="7" s="1"/>
  <c r="S159" i="7" s="1"/>
  <c r="Q158" i="7"/>
  <c r="R158" i="7" s="1"/>
  <c r="S158" i="7" s="1"/>
  <c r="Q157" i="7"/>
  <c r="R157" i="7" s="1"/>
  <c r="S157" i="7" s="1"/>
  <c r="Q156" i="7"/>
  <c r="R156" i="7" s="1"/>
  <c r="S156" i="7" s="1"/>
  <c r="Q155" i="7"/>
  <c r="R155" i="7" s="1"/>
  <c r="S155" i="7" s="1"/>
  <c r="Q154" i="7"/>
  <c r="R154" i="7" s="1"/>
  <c r="S154" i="7" s="1"/>
  <c r="Q153" i="7"/>
  <c r="R153" i="7" s="1"/>
  <c r="S153" i="7" s="1"/>
  <c r="Q152" i="7"/>
  <c r="R152" i="7" s="1"/>
  <c r="S152" i="7" s="1"/>
  <c r="Q151" i="7"/>
  <c r="R151" i="7" s="1"/>
  <c r="S151" i="7" s="1"/>
  <c r="Q150" i="7"/>
  <c r="R150" i="7" s="1"/>
  <c r="S150" i="7" s="1"/>
  <c r="Q149" i="7"/>
  <c r="R149" i="7" s="1"/>
  <c r="S149" i="7" s="1"/>
  <c r="Q148" i="7"/>
  <c r="R148" i="7" s="1"/>
  <c r="S148" i="7" s="1"/>
  <c r="Q147" i="7"/>
  <c r="R147" i="7" s="1"/>
  <c r="S147" i="7" s="1"/>
  <c r="Q146" i="7"/>
  <c r="R146" i="7" s="1"/>
  <c r="S146" i="7" s="1"/>
  <c r="Q145" i="7"/>
  <c r="R145" i="7" s="1"/>
  <c r="S145" i="7" s="1"/>
  <c r="Q144" i="7"/>
  <c r="R144" i="7" s="1"/>
  <c r="S144" i="7" s="1"/>
  <c r="Q143" i="7"/>
  <c r="R143" i="7" s="1"/>
  <c r="S143" i="7" s="1"/>
  <c r="Q142" i="7"/>
  <c r="R142" i="7" s="1"/>
  <c r="S142" i="7" s="1"/>
  <c r="Q141" i="7"/>
  <c r="R141" i="7" s="1"/>
  <c r="S141" i="7" s="1"/>
  <c r="Q140" i="7"/>
  <c r="R140" i="7" s="1"/>
  <c r="S140" i="7" s="1"/>
  <c r="Q139" i="7"/>
  <c r="R139" i="7" s="1"/>
  <c r="S139" i="7" s="1"/>
  <c r="Q138" i="7"/>
  <c r="R138" i="7" s="1"/>
  <c r="S138" i="7" s="1"/>
  <c r="Q137" i="7"/>
  <c r="R137" i="7" s="1"/>
  <c r="S137" i="7" s="1"/>
  <c r="Q136" i="7"/>
  <c r="R136" i="7" s="1"/>
  <c r="S136" i="7" s="1"/>
  <c r="Q135" i="7"/>
  <c r="R135" i="7" s="1"/>
  <c r="S135" i="7" s="1"/>
  <c r="Q134" i="7"/>
  <c r="R134" i="7" s="1"/>
  <c r="S134" i="7" s="1"/>
  <c r="Q133" i="7"/>
  <c r="R133" i="7" s="1"/>
  <c r="S133" i="7" s="1"/>
  <c r="Q132" i="7"/>
  <c r="R132" i="7" s="1"/>
  <c r="S132" i="7" s="1"/>
  <c r="Q131" i="7"/>
  <c r="R131" i="7" s="1"/>
  <c r="S131" i="7" s="1"/>
  <c r="Q130" i="7"/>
  <c r="R130" i="7" s="1"/>
  <c r="S130" i="7" s="1"/>
  <c r="Q129" i="7"/>
  <c r="R129" i="7" s="1"/>
  <c r="S129" i="7" s="1"/>
  <c r="Q128" i="7"/>
  <c r="R128" i="7" s="1"/>
  <c r="S128" i="7" s="1"/>
  <c r="Q127" i="7"/>
  <c r="R127" i="7" s="1"/>
  <c r="S127" i="7" s="1"/>
  <c r="Q126" i="7"/>
  <c r="R126" i="7" s="1"/>
  <c r="S126" i="7" s="1"/>
  <c r="Q125" i="7"/>
  <c r="R125" i="7" s="1"/>
  <c r="S125" i="7" s="1"/>
  <c r="Q124" i="7"/>
  <c r="R124" i="7" s="1"/>
  <c r="S124" i="7" s="1"/>
  <c r="Q123" i="7"/>
  <c r="R123" i="7" s="1"/>
  <c r="S123" i="7" s="1"/>
  <c r="Q122" i="7"/>
  <c r="R122" i="7" s="1"/>
  <c r="S122" i="7" s="1"/>
  <c r="Q121" i="7"/>
  <c r="R121" i="7" s="1"/>
  <c r="S121" i="7" s="1"/>
  <c r="Q120" i="7"/>
  <c r="R120" i="7" s="1"/>
  <c r="S120" i="7" s="1"/>
  <c r="Q119" i="7"/>
  <c r="R119" i="7" s="1"/>
  <c r="S119" i="7" s="1"/>
  <c r="Q118" i="7"/>
  <c r="R118" i="7" s="1"/>
  <c r="S118" i="7" s="1"/>
  <c r="Q117" i="7"/>
  <c r="R117" i="7" s="1"/>
  <c r="S117" i="7" s="1"/>
  <c r="Q116" i="7"/>
  <c r="R116" i="7" s="1"/>
  <c r="S116" i="7" s="1"/>
  <c r="Q115" i="7"/>
  <c r="R115" i="7" s="1"/>
  <c r="S115" i="7" s="1"/>
  <c r="Q114" i="7"/>
  <c r="R114" i="7" s="1"/>
  <c r="S114" i="7" s="1"/>
  <c r="Q113" i="7"/>
  <c r="R113" i="7" s="1"/>
  <c r="S113" i="7" s="1"/>
  <c r="Q112" i="7"/>
  <c r="R112" i="7" s="1"/>
  <c r="S112" i="7" s="1"/>
  <c r="Q111" i="7"/>
  <c r="R111" i="7" s="1"/>
  <c r="S111" i="7" s="1"/>
  <c r="Q110" i="7"/>
  <c r="R110" i="7" s="1"/>
  <c r="S110" i="7" s="1"/>
  <c r="Q109" i="7"/>
  <c r="R109" i="7" s="1"/>
  <c r="S109" i="7" s="1"/>
  <c r="Q108" i="7"/>
  <c r="R108" i="7" s="1"/>
  <c r="S108" i="7" s="1"/>
  <c r="Q107" i="7"/>
  <c r="R107" i="7" s="1"/>
  <c r="S107" i="7" s="1"/>
  <c r="Q106" i="7"/>
  <c r="R106" i="7" s="1"/>
  <c r="S106" i="7" s="1"/>
  <c r="Q105" i="7"/>
  <c r="R105" i="7" s="1"/>
  <c r="S105" i="7" s="1"/>
  <c r="Q104" i="7"/>
  <c r="R104" i="7" s="1"/>
  <c r="S104" i="7" s="1"/>
  <c r="Q103" i="7"/>
  <c r="R103" i="7" s="1"/>
  <c r="S103" i="7" s="1"/>
  <c r="Q102" i="7"/>
  <c r="R102" i="7" s="1"/>
  <c r="S102" i="7" s="1"/>
  <c r="Q101" i="7"/>
  <c r="R101" i="7" s="1"/>
  <c r="S101" i="7" s="1"/>
  <c r="Q100" i="7"/>
  <c r="R100" i="7" s="1"/>
  <c r="S100" i="7" s="1"/>
  <c r="Q99" i="7"/>
  <c r="R99" i="7" s="1"/>
  <c r="S99" i="7" s="1"/>
  <c r="Q98" i="7"/>
  <c r="R98" i="7" s="1"/>
  <c r="S98" i="7" s="1"/>
  <c r="Q97" i="7"/>
  <c r="R97" i="7" s="1"/>
  <c r="S97" i="7" s="1"/>
  <c r="Q96" i="7"/>
  <c r="R96" i="7" s="1"/>
  <c r="S96" i="7" s="1"/>
  <c r="Q95" i="7"/>
  <c r="R95" i="7" s="1"/>
  <c r="S95" i="7" s="1"/>
  <c r="Q94" i="7"/>
  <c r="R94" i="7" s="1"/>
  <c r="S94" i="7" s="1"/>
  <c r="Q93" i="7"/>
  <c r="R93" i="7" s="1"/>
  <c r="S93" i="7" s="1"/>
  <c r="Q92" i="7"/>
  <c r="R92" i="7" s="1"/>
  <c r="S92" i="7" s="1"/>
  <c r="Q91" i="7"/>
  <c r="R91" i="7" s="1"/>
  <c r="S91" i="7" s="1"/>
  <c r="Q90" i="7"/>
  <c r="R90" i="7" s="1"/>
  <c r="S90" i="7" s="1"/>
  <c r="Q89" i="7"/>
  <c r="R89" i="7" s="1"/>
  <c r="S89" i="7" s="1"/>
  <c r="Q88" i="7"/>
  <c r="R88" i="7" s="1"/>
  <c r="S88" i="7" s="1"/>
  <c r="Q87" i="7"/>
  <c r="R87" i="7" s="1"/>
  <c r="S87" i="7" s="1"/>
  <c r="Q86" i="7"/>
  <c r="R86" i="7" s="1"/>
  <c r="S86" i="7" s="1"/>
  <c r="Q85" i="7"/>
  <c r="R85" i="7" s="1"/>
  <c r="S85" i="7" s="1"/>
  <c r="Q84" i="7"/>
  <c r="R84" i="7" s="1"/>
  <c r="S84" i="7" s="1"/>
  <c r="Q83" i="7"/>
  <c r="R83" i="7" s="1"/>
  <c r="S83" i="7" s="1"/>
  <c r="Q82" i="7"/>
  <c r="R82" i="7" s="1"/>
  <c r="S82" i="7" s="1"/>
  <c r="Q81" i="7"/>
  <c r="R81" i="7" s="1"/>
  <c r="S81" i="7" s="1"/>
  <c r="Q80" i="7"/>
  <c r="R80" i="7" s="1"/>
  <c r="S80" i="7" s="1"/>
  <c r="Q79" i="7"/>
  <c r="R79" i="7" s="1"/>
  <c r="S79" i="7" s="1"/>
  <c r="Q78" i="7"/>
  <c r="R78" i="7" s="1"/>
  <c r="S78" i="7" s="1"/>
  <c r="Q77" i="7"/>
  <c r="R77" i="7" s="1"/>
  <c r="S77" i="7" s="1"/>
  <c r="Q76" i="7"/>
  <c r="R76" i="7" s="1"/>
  <c r="S76" i="7" s="1"/>
  <c r="Q75" i="7"/>
  <c r="R75" i="7" s="1"/>
  <c r="S75" i="7" s="1"/>
  <c r="Q74" i="7"/>
  <c r="R74" i="7" s="1"/>
  <c r="S74" i="7" s="1"/>
  <c r="Q73" i="7"/>
  <c r="R73" i="7" s="1"/>
  <c r="S73" i="7" s="1"/>
  <c r="Q72" i="7"/>
  <c r="R72" i="7" s="1"/>
  <c r="S72" i="7" s="1"/>
  <c r="Q71" i="7"/>
  <c r="R71" i="7" s="1"/>
  <c r="S71" i="7" s="1"/>
  <c r="Q70" i="7"/>
  <c r="R70" i="7" s="1"/>
  <c r="S70" i="7" s="1"/>
  <c r="Q69" i="7"/>
  <c r="R69" i="7" s="1"/>
  <c r="S69" i="7" s="1"/>
  <c r="Q68" i="7"/>
  <c r="R68" i="7" s="1"/>
  <c r="S68" i="7" s="1"/>
  <c r="Q67" i="7"/>
  <c r="R67" i="7" s="1"/>
  <c r="S67" i="7" s="1"/>
  <c r="Q66" i="7"/>
  <c r="R66" i="7" s="1"/>
  <c r="S66" i="7" s="1"/>
  <c r="Q65" i="7"/>
  <c r="R65" i="7" s="1"/>
  <c r="S65" i="7" s="1"/>
  <c r="Q64" i="7"/>
  <c r="R64" i="7" s="1"/>
  <c r="S64" i="7" s="1"/>
  <c r="Q63" i="7"/>
  <c r="R63" i="7" s="1"/>
  <c r="S63" i="7" s="1"/>
  <c r="Q62" i="7"/>
  <c r="R62" i="7" s="1"/>
  <c r="S62" i="7" s="1"/>
  <c r="Q61" i="7"/>
  <c r="R61" i="7" s="1"/>
  <c r="S61" i="7" s="1"/>
  <c r="Q60" i="7"/>
  <c r="R60" i="7" s="1"/>
  <c r="S60" i="7" s="1"/>
  <c r="Q59" i="7"/>
  <c r="R59" i="7" s="1"/>
  <c r="S59" i="7" s="1"/>
  <c r="Q58" i="7"/>
  <c r="R58" i="7" s="1"/>
  <c r="S58" i="7" s="1"/>
  <c r="Q57" i="7"/>
  <c r="R57" i="7" s="1"/>
  <c r="S57" i="7" s="1"/>
  <c r="Q56" i="7"/>
  <c r="R56" i="7" s="1"/>
  <c r="S56" i="7" s="1"/>
  <c r="Q55" i="7"/>
  <c r="R55" i="7" s="1"/>
  <c r="S55" i="7" s="1"/>
  <c r="Q54" i="7"/>
  <c r="R54" i="7" s="1"/>
  <c r="S54" i="7" s="1"/>
  <c r="Q53" i="7"/>
  <c r="R53" i="7" s="1"/>
  <c r="S53" i="7" s="1"/>
  <c r="Q52" i="7"/>
  <c r="R52" i="7" s="1"/>
  <c r="S52" i="7" s="1"/>
  <c r="Q51" i="7"/>
  <c r="R51" i="7" s="1"/>
  <c r="S51" i="7" s="1"/>
  <c r="Q50" i="7"/>
  <c r="R50" i="7" s="1"/>
  <c r="S50" i="7" s="1"/>
  <c r="Q49" i="7"/>
  <c r="R49" i="7" s="1"/>
  <c r="S49" i="7" s="1"/>
  <c r="Q48" i="7"/>
  <c r="R48" i="7" s="1"/>
  <c r="S48" i="7" s="1"/>
  <c r="Q47" i="7"/>
  <c r="R47" i="7" s="1"/>
  <c r="S47" i="7" s="1"/>
  <c r="Q46" i="7"/>
  <c r="R46" i="7" s="1"/>
  <c r="S46" i="7" s="1"/>
  <c r="Q45" i="7"/>
  <c r="R45" i="7" s="1"/>
  <c r="S45" i="7" s="1"/>
  <c r="Q44" i="7"/>
  <c r="R44" i="7" s="1"/>
  <c r="S44" i="7" s="1"/>
  <c r="Q43" i="7"/>
  <c r="R43" i="7" s="1"/>
  <c r="S43" i="7" s="1"/>
  <c r="Q42" i="7"/>
  <c r="R42" i="7" s="1"/>
  <c r="S42" i="7" s="1"/>
  <c r="Q41" i="7"/>
  <c r="R41" i="7" s="1"/>
  <c r="S41" i="7" s="1"/>
  <c r="Q40" i="7"/>
  <c r="R40" i="7" s="1"/>
  <c r="S40" i="7" s="1"/>
  <c r="Q39" i="7"/>
  <c r="R39" i="7" s="1"/>
  <c r="S39" i="7" s="1"/>
  <c r="Q38" i="7"/>
  <c r="R38" i="7" s="1"/>
  <c r="S38" i="7" s="1"/>
  <c r="Q37" i="7"/>
  <c r="R37" i="7" s="1"/>
  <c r="S37" i="7" s="1"/>
  <c r="Q36" i="7"/>
  <c r="R36" i="7" s="1"/>
  <c r="S36" i="7" s="1"/>
  <c r="Q35" i="7"/>
  <c r="R35" i="7" s="1"/>
  <c r="S35" i="7" s="1"/>
  <c r="Q34" i="7"/>
  <c r="R34" i="7" s="1"/>
  <c r="S34" i="7" s="1"/>
  <c r="Q33" i="7"/>
  <c r="R33" i="7" s="1"/>
  <c r="S33" i="7" s="1"/>
  <c r="Q32" i="7"/>
  <c r="R32" i="7" s="1"/>
  <c r="S32" i="7" s="1"/>
  <c r="Q31" i="7"/>
  <c r="R31" i="7" s="1"/>
  <c r="S31" i="7" s="1"/>
  <c r="Q30" i="7"/>
  <c r="R30" i="7" s="1"/>
  <c r="S30" i="7" s="1"/>
  <c r="Q29" i="7"/>
  <c r="R29" i="7" s="1"/>
  <c r="S29" i="7" s="1"/>
  <c r="Q28" i="7"/>
  <c r="R28" i="7" s="1"/>
  <c r="S28" i="7" s="1"/>
  <c r="Q27" i="7"/>
  <c r="R27" i="7" s="1"/>
  <c r="S27" i="7" s="1"/>
  <c r="Q26" i="7"/>
  <c r="R26" i="7" s="1"/>
  <c r="S26" i="7" s="1"/>
  <c r="Q25" i="7"/>
  <c r="R25" i="7" s="1"/>
  <c r="S25" i="7" s="1"/>
  <c r="Q24" i="7"/>
  <c r="R24" i="7" s="1"/>
  <c r="S24" i="7" s="1"/>
  <c r="Q23" i="7"/>
  <c r="R23" i="7" s="1"/>
  <c r="S23" i="7" s="1"/>
  <c r="Q22" i="7"/>
  <c r="R22" i="7" s="1"/>
  <c r="S22" i="7" s="1"/>
  <c r="Q21" i="7"/>
  <c r="R21" i="7" s="1"/>
  <c r="S21" i="7" s="1"/>
  <c r="Q20" i="7"/>
  <c r="R20" i="7" s="1"/>
  <c r="S20" i="7" s="1"/>
  <c r="Q19" i="7"/>
  <c r="R19" i="7" s="1"/>
  <c r="S19" i="7" s="1"/>
  <c r="Q18" i="7"/>
  <c r="R18" i="7" s="1"/>
  <c r="S18" i="7" s="1"/>
  <c r="Q17" i="7"/>
  <c r="R17" i="7" s="1"/>
  <c r="S17" i="7" s="1"/>
  <c r="Q16" i="7"/>
  <c r="R16" i="7" s="1"/>
  <c r="S16" i="7" s="1"/>
  <c r="Q15" i="7"/>
  <c r="R15" i="7" s="1"/>
  <c r="S15" i="7" s="1"/>
  <c r="Q14" i="7"/>
  <c r="R14" i="7" s="1"/>
  <c r="S14" i="7" s="1"/>
  <c r="Q13" i="7"/>
  <c r="R13" i="7" s="1"/>
  <c r="S13" i="7" s="1"/>
  <c r="Q12" i="7"/>
  <c r="R12" i="7" s="1"/>
  <c r="S12" i="7" s="1"/>
  <c r="Q11" i="7"/>
  <c r="R11" i="7" s="1"/>
  <c r="S11" i="7" s="1"/>
  <c r="Q10" i="7"/>
  <c r="R10" i="7" s="1"/>
  <c r="S10" i="7" s="1"/>
  <c r="Q9" i="7"/>
  <c r="R9" i="7" s="1"/>
  <c r="S9" i="7" s="1"/>
  <c r="Q8" i="7"/>
  <c r="R8" i="7" s="1"/>
  <c r="S8" i="7" s="1"/>
  <c r="Q7" i="7"/>
  <c r="R7" i="7" s="1"/>
  <c r="S7" i="7" s="1"/>
  <c r="Q6" i="7"/>
  <c r="R6" i="7" s="1"/>
  <c r="S6" i="7" s="1"/>
  <c r="Q5" i="7"/>
  <c r="R5" i="7" s="1"/>
  <c r="S5" i="7" s="1"/>
  <c r="Q4" i="7"/>
  <c r="R4" i="7" s="1"/>
  <c r="S4" i="7" s="1"/>
  <c r="Q3" i="7"/>
  <c r="R3" i="7" s="1"/>
  <c r="S3" i="7" s="1"/>
  <c r="Q2" i="7"/>
  <c r="R2" i="7" s="1"/>
  <c r="S2" i="7" s="1"/>
  <c r="N244" i="6" l="1"/>
  <c r="M244" i="6"/>
  <c r="L244" i="6"/>
  <c r="K244" i="6"/>
  <c r="J244" i="6"/>
  <c r="I244" i="6"/>
  <c r="H244" i="6"/>
  <c r="G244" i="6"/>
  <c r="F244" i="6"/>
  <c r="E244" i="6"/>
  <c r="D244" i="6"/>
  <c r="C244" i="6"/>
  <c r="N240" i="6"/>
  <c r="M240" i="6"/>
  <c r="L240" i="6"/>
  <c r="K240" i="6"/>
  <c r="J240" i="6"/>
  <c r="I240" i="6"/>
  <c r="H240" i="6"/>
  <c r="G240" i="6"/>
  <c r="F240" i="6"/>
  <c r="E240" i="6"/>
  <c r="D240" i="6"/>
  <c r="C240" i="6"/>
  <c r="Q234" i="6"/>
  <c r="R234" i="6" s="1"/>
  <c r="P234" i="6"/>
  <c r="P233" i="6"/>
  <c r="Q233" i="6" s="1"/>
  <c r="R233" i="6" s="1"/>
  <c r="P232" i="6"/>
  <c r="Q232" i="6" s="1"/>
  <c r="R232" i="6" s="1"/>
  <c r="P231" i="6"/>
  <c r="Q231" i="6" s="1"/>
  <c r="R231" i="6" s="1"/>
  <c r="Q230" i="6"/>
  <c r="R230" i="6" s="1"/>
  <c r="P230" i="6"/>
  <c r="P229" i="6"/>
  <c r="Q229" i="6" s="1"/>
  <c r="R229" i="6" s="1"/>
  <c r="P228" i="6"/>
  <c r="Q228" i="6" s="1"/>
  <c r="R228" i="6" s="1"/>
  <c r="P227" i="6"/>
  <c r="Q227" i="6" s="1"/>
  <c r="R227" i="6" s="1"/>
  <c r="Q226" i="6"/>
  <c r="R226" i="6" s="1"/>
  <c r="P226" i="6"/>
  <c r="P225" i="6"/>
  <c r="Q225" i="6" s="1"/>
  <c r="R225" i="6" s="1"/>
  <c r="P224" i="6"/>
  <c r="Q224" i="6" s="1"/>
  <c r="R224" i="6" s="1"/>
  <c r="P223" i="6"/>
  <c r="Q223" i="6" s="1"/>
  <c r="R223" i="6" s="1"/>
  <c r="Q222" i="6"/>
  <c r="R222" i="6" s="1"/>
  <c r="P222" i="6"/>
  <c r="P221" i="6"/>
  <c r="Q221" i="6" s="1"/>
  <c r="R221" i="6" s="1"/>
  <c r="P220" i="6"/>
  <c r="Q220" i="6" s="1"/>
  <c r="R220" i="6" s="1"/>
  <c r="P219" i="6"/>
  <c r="Q219" i="6" s="1"/>
  <c r="R219" i="6" s="1"/>
  <c r="Q218" i="6"/>
  <c r="R218" i="6" s="1"/>
  <c r="P218" i="6"/>
  <c r="P217" i="6"/>
  <c r="Q217" i="6" s="1"/>
  <c r="R217" i="6" s="1"/>
  <c r="P216" i="6"/>
  <c r="Q216" i="6" s="1"/>
  <c r="R216" i="6" s="1"/>
  <c r="P215" i="6"/>
  <c r="Q215" i="6" s="1"/>
  <c r="R215" i="6" s="1"/>
  <c r="Q214" i="6"/>
  <c r="R214" i="6" s="1"/>
  <c r="P214" i="6"/>
  <c r="P213" i="6"/>
  <c r="Q213" i="6" s="1"/>
  <c r="R213" i="6" s="1"/>
  <c r="P212" i="6"/>
  <c r="Q212" i="6" s="1"/>
  <c r="R212" i="6" s="1"/>
  <c r="P211" i="6"/>
  <c r="Q211" i="6" s="1"/>
  <c r="R211" i="6" s="1"/>
  <c r="Q210" i="6"/>
  <c r="R210" i="6" s="1"/>
  <c r="P210" i="6"/>
  <c r="P209" i="6"/>
  <c r="Q209" i="6" s="1"/>
  <c r="R209" i="6" s="1"/>
  <c r="P208" i="6"/>
  <c r="Q208" i="6" s="1"/>
  <c r="R208" i="6" s="1"/>
  <c r="P207" i="6"/>
  <c r="Q207" i="6" s="1"/>
  <c r="R207" i="6" s="1"/>
  <c r="Q206" i="6"/>
  <c r="R206" i="6" s="1"/>
  <c r="P206" i="6"/>
  <c r="P205" i="6"/>
  <c r="Q205" i="6" s="1"/>
  <c r="R205" i="6" s="1"/>
  <c r="P204" i="6"/>
  <c r="Q204" i="6" s="1"/>
  <c r="R204" i="6" s="1"/>
  <c r="P203" i="6"/>
  <c r="Q203" i="6" s="1"/>
  <c r="R203" i="6" s="1"/>
  <c r="Q202" i="6"/>
  <c r="R202" i="6" s="1"/>
  <c r="P202" i="6"/>
  <c r="P201" i="6"/>
  <c r="Q201" i="6" s="1"/>
  <c r="R201" i="6" s="1"/>
  <c r="P200" i="6"/>
  <c r="Q200" i="6" s="1"/>
  <c r="R200" i="6" s="1"/>
  <c r="P199" i="6"/>
  <c r="Q199" i="6" s="1"/>
  <c r="R199" i="6" s="1"/>
  <c r="Q198" i="6"/>
  <c r="R198" i="6" s="1"/>
  <c r="P198" i="6"/>
  <c r="P197" i="6"/>
  <c r="Q197" i="6" s="1"/>
  <c r="R197" i="6" s="1"/>
  <c r="P196" i="6"/>
  <c r="Q196" i="6" s="1"/>
  <c r="R196" i="6" s="1"/>
  <c r="P195" i="6"/>
  <c r="Q195" i="6" s="1"/>
  <c r="R195" i="6" s="1"/>
  <c r="Q194" i="6"/>
  <c r="R194" i="6" s="1"/>
  <c r="P194" i="6"/>
  <c r="P193" i="6"/>
  <c r="Q193" i="6" s="1"/>
  <c r="R193" i="6" s="1"/>
  <c r="P192" i="6"/>
  <c r="Q192" i="6" s="1"/>
  <c r="R192" i="6" s="1"/>
  <c r="P191" i="6"/>
  <c r="Q191" i="6" s="1"/>
  <c r="R191" i="6" s="1"/>
  <c r="Q190" i="6"/>
  <c r="R190" i="6" s="1"/>
  <c r="P190" i="6"/>
  <c r="P189" i="6"/>
  <c r="Q189" i="6" s="1"/>
  <c r="R189" i="6" s="1"/>
  <c r="P188" i="6"/>
  <c r="Q188" i="6" s="1"/>
  <c r="R188" i="6" s="1"/>
  <c r="P187" i="6"/>
  <c r="Q187" i="6" s="1"/>
  <c r="R187" i="6" s="1"/>
  <c r="Q186" i="6"/>
  <c r="R186" i="6" s="1"/>
  <c r="P186" i="6"/>
  <c r="P185" i="6"/>
  <c r="Q185" i="6" s="1"/>
  <c r="R185" i="6" s="1"/>
  <c r="P184" i="6"/>
  <c r="Q184" i="6" s="1"/>
  <c r="R184" i="6" s="1"/>
  <c r="P183" i="6"/>
  <c r="Q183" i="6" s="1"/>
  <c r="R183" i="6" s="1"/>
  <c r="Q182" i="6"/>
  <c r="R182" i="6" s="1"/>
  <c r="P182" i="6"/>
  <c r="P181" i="6"/>
  <c r="Q181" i="6" s="1"/>
  <c r="R181" i="6" s="1"/>
  <c r="P180" i="6"/>
  <c r="Q180" i="6" s="1"/>
  <c r="R180" i="6" s="1"/>
  <c r="P179" i="6"/>
  <c r="Q179" i="6" s="1"/>
  <c r="R179" i="6" s="1"/>
  <c r="Q178" i="6"/>
  <c r="R178" i="6" s="1"/>
  <c r="P178" i="6"/>
  <c r="P177" i="6"/>
  <c r="Q177" i="6" s="1"/>
  <c r="R177" i="6" s="1"/>
  <c r="P176" i="6"/>
  <c r="Q176" i="6" s="1"/>
  <c r="R176" i="6" s="1"/>
  <c r="P175" i="6"/>
  <c r="Q175" i="6" s="1"/>
  <c r="R175" i="6" s="1"/>
  <c r="Q174" i="6"/>
  <c r="R174" i="6" s="1"/>
  <c r="P174" i="6"/>
  <c r="P173" i="6"/>
  <c r="Q173" i="6" s="1"/>
  <c r="R173" i="6" s="1"/>
  <c r="P172" i="6"/>
  <c r="Q172" i="6" s="1"/>
  <c r="R172" i="6" s="1"/>
  <c r="P171" i="6"/>
  <c r="Q171" i="6" s="1"/>
  <c r="R171" i="6" s="1"/>
  <c r="Q170" i="6"/>
  <c r="R170" i="6" s="1"/>
  <c r="P170" i="6"/>
  <c r="P169" i="6"/>
  <c r="Q169" i="6" s="1"/>
  <c r="R169" i="6" s="1"/>
  <c r="P168" i="6"/>
  <c r="Q168" i="6" s="1"/>
  <c r="R168" i="6" s="1"/>
  <c r="P167" i="6"/>
  <c r="Q167" i="6" s="1"/>
  <c r="R167" i="6" s="1"/>
  <c r="Q166" i="6"/>
  <c r="R166" i="6" s="1"/>
  <c r="P166" i="6"/>
  <c r="P165" i="6"/>
  <c r="Q165" i="6" s="1"/>
  <c r="R165" i="6" s="1"/>
  <c r="P164" i="6"/>
  <c r="Q164" i="6" s="1"/>
  <c r="R164" i="6" s="1"/>
  <c r="P163" i="6"/>
  <c r="Q163" i="6" s="1"/>
  <c r="R163" i="6" s="1"/>
  <c r="P162" i="6"/>
  <c r="Q162" i="6" s="1"/>
  <c r="R162" i="6" s="1"/>
  <c r="P161" i="6"/>
  <c r="Q161" i="6" s="1"/>
  <c r="R161" i="6" s="1"/>
  <c r="P160" i="6"/>
  <c r="Q160" i="6" s="1"/>
  <c r="R160" i="6" s="1"/>
  <c r="P159" i="6"/>
  <c r="Q159" i="6" s="1"/>
  <c r="R159" i="6" s="1"/>
  <c r="Q158" i="6"/>
  <c r="R158" i="6" s="1"/>
  <c r="P158" i="6"/>
  <c r="P157" i="6"/>
  <c r="Q157" i="6" s="1"/>
  <c r="R157" i="6" s="1"/>
  <c r="P156" i="6"/>
  <c r="Q156" i="6" s="1"/>
  <c r="R156" i="6" s="1"/>
  <c r="P155" i="6"/>
  <c r="Q155" i="6" s="1"/>
  <c r="R155" i="6" s="1"/>
  <c r="Q154" i="6"/>
  <c r="R154" i="6" s="1"/>
  <c r="P154" i="6"/>
  <c r="P153" i="6"/>
  <c r="Q153" i="6" s="1"/>
  <c r="R153" i="6" s="1"/>
  <c r="P152" i="6"/>
  <c r="Q152" i="6" s="1"/>
  <c r="R152" i="6" s="1"/>
  <c r="P151" i="6"/>
  <c r="Q151" i="6" s="1"/>
  <c r="R151" i="6" s="1"/>
  <c r="Q150" i="6"/>
  <c r="R150" i="6" s="1"/>
  <c r="P150" i="6"/>
  <c r="P149" i="6"/>
  <c r="Q149" i="6" s="1"/>
  <c r="R149" i="6" s="1"/>
  <c r="P148" i="6"/>
  <c r="Q148" i="6" s="1"/>
  <c r="R148" i="6" s="1"/>
  <c r="P147" i="6"/>
  <c r="Q147" i="6" s="1"/>
  <c r="R147" i="6" s="1"/>
  <c r="P146" i="6"/>
  <c r="Q146" i="6" s="1"/>
  <c r="R146" i="6" s="1"/>
  <c r="P145" i="6"/>
  <c r="Q145" i="6" s="1"/>
  <c r="R145" i="6" s="1"/>
  <c r="P144" i="6"/>
  <c r="Q144" i="6" s="1"/>
  <c r="R144" i="6" s="1"/>
  <c r="P143" i="6"/>
  <c r="Q143" i="6" s="1"/>
  <c r="R143" i="6" s="1"/>
  <c r="P142" i="6"/>
  <c r="Q142" i="6" s="1"/>
  <c r="R142" i="6" s="1"/>
  <c r="P141" i="6"/>
  <c r="Q141" i="6" s="1"/>
  <c r="R141" i="6" s="1"/>
  <c r="P140" i="6"/>
  <c r="Q140" i="6" s="1"/>
  <c r="R140" i="6" s="1"/>
  <c r="P139" i="6"/>
  <c r="Q139" i="6" s="1"/>
  <c r="R139" i="6" s="1"/>
  <c r="P138" i="6"/>
  <c r="Q138" i="6" s="1"/>
  <c r="R138" i="6" s="1"/>
  <c r="P137" i="6"/>
  <c r="Q137" i="6" s="1"/>
  <c r="R137" i="6" s="1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" i="3"/>
  <c r="N239" i="5"/>
  <c r="M239" i="5"/>
  <c r="L239" i="5"/>
  <c r="K239" i="5"/>
  <c r="J239" i="5"/>
  <c r="I239" i="5"/>
  <c r="H239" i="5"/>
  <c r="G239" i="5"/>
  <c r="F239" i="5"/>
  <c r="E239" i="5"/>
  <c r="D239" i="5"/>
  <c r="C239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P230" i="5"/>
  <c r="Q230" i="5" s="1"/>
  <c r="R230" i="5" s="1"/>
  <c r="P229" i="5"/>
  <c r="Q229" i="5" s="1"/>
  <c r="R229" i="5" s="1"/>
  <c r="P228" i="5"/>
  <c r="Q228" i="5" s="1"/>
  <c r="R228" i="5" s="1"/>
  <c r="P227" i="5"/>
  <c r="Q227" i="5" s="1"/>
  <c r="R227" i="5" s="1"/>
  <c r="Q226" i="5"/>
  <c r="R226" i="5" s="1"/>
  <c r="P226" i="5"/>
  <c r="P225" i="5"/>
  <c r="Q225" i="5" s="1"/>
  <c r="R225" i="5" s="1"/>
  <c r="P224" i="5"/>
  <c r="Q224" i="5" s="1"/>
  <c r="R224" i="5" s="1"/>
  <c r="Q223" i="5"/>
  <c r="R223" i="5" s="1"/>
  <c r="P223" i="5"/>
  <c r="Q222" i="5"/>
  <c r="R222" i="5" s="1"/>
  <c r="P222" i="5"/>
  <c r="P221" i="5"/>
  <c r="Q221" i="5" s="1"/>
  <c r="R221" i="5" s="1"/>
  <c r="P220" i="5"/>
  <c r="Q220" i="5" s="1"/>
  <c r="R220" i="5" s="1"/>
  <c r="P219" i="5"/>
  <c r="Q219" i="5" s="1"/>
  <c r="R219" i="5" s="1"/>
  <c r="Q218" i="5"/>
  <c r="R218" i="5" s="1"/>
  <c r="P218" i="5"/>
  <c r="P217" i="5"/>
  <c r="Q217" i="5" s="1"/>
  <c r="R217" i="5" s="1"/>
  <c r="P216" i="5"/>
  <c r="Q216" i="5" s="1"/>
  <c r="R216" i="5" s="1"/>
  <c r="P215" i="5"/>
  <c r="Q215" i="5" s="1"/>
  <c r="R215" i="5" s="1"/>
  <c r="Q214" i="5"/>
  <c r="R214" i="5" s="1"/>
  <c r="P214" i="5"/>
  <c r="P213" i="5"/>
  <c r="Q213" i="5" s="1"/>
  <c r="R213" i="5" s="1"/>
  <c r="P212" i="5"/>
  <c r="Q212" i="5" s="1"/>
  <c r="R212" i="5" s="1"/>
  <c r="P211" i="5"/>
  <c r="Q211" i="5" s="1"/>
  <c r="R211" i="5" s="1"/>
  <c r="Q210" i="5"/>
  <c r="R210" i="5" s="1"/>
  <c r="P210" i="5"/>
  <c r="P209" i="5"/>
  <c r="Q209" i="5" s="1"/>
  <c r="R209" i="5" s="1"/>
  <c r="P208" i="5"/>
  <c r="Q208" i="5" s="1"/>
  <c r="R208" i="5" s="1"/>
  <c r="P207" i="5"/>
  <c r="Q207" i="5" s="1"/>
  <c r="R207" i="5" s="1"/>
  <c r="Q206" i="5"/>
  <c r="R206" i="5" s="1"/>
  <c r="P206" i="5"/>
  <c r="P205" i="5"/>
  <c r="Q205" i="5" s="1"/>
  <c r="R205" i="5" s="1"/>
  <c r="P204" i="5"/>
  <c r="Q204" i="5" s="1"/>
  <c r="R204" i="5" s="1"/>
  <c r="P203" i="5"/>
  <c r="Q203" i="5" s="1"/>
  <c r="R203" i="5" s="1"/>
  <c r="Q202" i="5"/>
  <c r="R202" i="5" s="1"/>
  <c r="P202" i="5"/>
  <c r="P201" i="5"/>
  <c r="Q201" i="5" s="1"/>
  <c r="R201" i="5" s="1"/>
  <c r="P200" i="5"/>
  <c r="Q200" i="5" s="1"/>
  <c r="R200" i="5" s="1"/>
  <c r="P199" i="5"/>
  <c r="Q199" i="5" s="1"/>
  <c r="R199" i="5" s="1"/>
  <c r="Q198" i="5"/>
  <c r="R198" i="5" s="1"/>
  <c r="P198" i="5"/>
  <c r="P197" i="5"/>
  <c r="Q197" i="5" s="1"/>
  <c r="R197" i="5" s="1"/>
  <c r="P196" i="5"/>
  <c r="Q196" i="5" s="1"/>
  <c r="R196" i="5" s="1"/>
  <c r="P195" i="5"/>
  <c r="Q195" i="5" s="1"/>
  <c r="R195" i="5" s="1"/>
  <c r="Q194" i="5"/>
  <c r="R194" i="5" s="1"/>
  <c r="P194" i="5"/>
  <c r="P193" i="5"/>
  <c r="Q193" i="5" s="1"/>
  <c r="R193" i="5" s="1"/>
  <c r="P192" i="5"/>
  <c r="Q192" i="5" s="1"/>
  <c r="R192" i="5" s="1"/>
  <c r="P191" i="5"/>
  <c r="Q191" i="5" s="1"/>
  <c r="R191" i="5" s="1"/>
  <c r="Q190" i="5"/>
  <c r="R190" i="5" s="1"/>
  <c r="P190" i="5"/>
  <c r="P189" i="5"/>
  <c r="Q189" i="5" s="1"/>
  <c r="R189" i="5" s="1"/>
  <c r="P188" i="5"/>
  <c r="Q188" i="5" s="1"/>
  <c r="R188" i="5" s="1"/>
  <c r="P187" i="5"/>
  <c r="Q187" i="5" s="1"/>
  <c r="R187" i="5" s="1"/>
  <c r="Q186" i="5"/>
  <c r="R186" i="5" s="1"/>
  <c r="P186" i="5"/>
  <c r="P185" i="5"/>
  <c r="Q185" i="5" s="1"/>
  <c r="R185" i="5" s="1"/>
  <c r="P184" i="5"/>
  <c r="Q184" i="5" s="1"/>
  <c r="R184" i="5" s="1"/>
  <c r="P183" i="5"/>
  <c r="Q183" i="5" s="1"/>
  <c r="R183" i="5" s="1"/>
  <c r="Q182" i="5"/>
  <c r="R182" i="5" s="1"/>
  <c r="P182" i="5"/>
  <c r="P181" i="5"/>
  <c r="Q181" i="5" s="1"/>
  <c r="R181" i="5" s="1"/>
  <c r="P180" i="5"/>
  <c r="Q180" i="5" s="1"/>
  <c r="R180" i="5" s="1"/>
  <c r="P179" i="5"/>
  <c r="Q179" i="5" s="1"/>
  <c r="R179" i="5" s="1"/>
  <c r="Q178" i="5"/>
  <c r="R178" i="5" s="1"/>
  <c r="P178" i="5"/>
  <c r="P177" i="5"/>
  <c r="Q177" i="5" s="1"/>
  <c r="R177" i="5" s="1"/>
  <c r="P176" i="5"/>
  <c r="Q176" i="5" s="1"/>
  <c r="R176" i="5" s="1"/>
  <c r="P175" i="5"/>
  <c r="Q175" i="5" s="1"/>
  <c r="R175" i="5" s="1"/>
  <c r="Q174" i="5"/>
  <c r="R174" i="5" s="1"/>
  <c r="P174" i="5"/>
  <c r="P173" i="5"/>
  <c r="Q173" i="5" s="1"/>
  <c r="R173" i="5" s="1"/>
  <c r="P172" i="5"/>
  <c r="Q172" i="5" s="1"/>
  <c r="R172" i="5" s="1"/>
  <c r="P171" i="5"/>
  <c r="Q171" i="5" s="1"/>
  <c r="R171" i="5" s="1"/>
  <c r="P170" i="5"/>
  <c r="Q170" i="5" s="1"/>
  <c r="R170" i="5" s="1"/>
  <c r="P169" i="5"/>
  <c r="Q169" i="5" s="1"/>
  <c r="R169" i="5" s="1"/>
  <c r="P168" i="5"/>
  <c r="Q168" i="5" s="1"/>
  <c r="R168" i="5" s="1"/>
  <c r="P167" i="5"/>
  <c r="Q167" i="5" s="1"/>
  <c r="R167" i="5" s="1"/>
  <c r="P166" i="5"/>
  <c r="Q166" i="5" s="1"/>
  <c r="R166" i="5" s="1"/>
  <c r="P165" i="5"/>
  <c r="Q165" i="5" s="1"/>
  <c r="R165" i="5" s="1"/>
  <c r="P164" i="5"/>
  <c r="Q164" i="5" s="1"/>
  <c r="R164" i="5" s="1"/>
  <c r="P163" i="5"/>
  <c r="Q163" i="5" s="1"/>
  <c r="R163" i="5" s="1"/>
  <c r="P162" i="5"/>
  <c r="Q162" i="5" s="1"/>
  <c r="R162" i="5" s="1"/>
  <c r="P161" i="5"/>
  <c r="Q161" i="5" s="1"/>
  <c r="R161" i="5" s="1"/>
  <c r="P160" i="5"/>
  <c r="Q160" i="5" s="1"/>
  <c r="R160" i="5" s="1"/>
  <c r="P159" i="5"/>
  <c r="Q159" i="5" s="1"/>
  <c r="R159" i="5" s="1"/>
  <c r="P158" i="5"/>
  <c r="Q158" i="5" s="1"/>
  <c r="R158" i="5" s="1"/>
  <c r="P157" i="5"/>
  <c r="Q157" i="5" s="1"/>
  <c r="R157" i="5" s="1"/>
  <c r="P156" i="5"/>
  <c r="Q156" i="5" s="1"/>
  <c r="R156" i="5" s="1"/>
  <c r="P155" i="5"/>
  <c r="Q155" i="5" s="1"/>
  <c r="R155" i="5" s="1"/>
  <c r="P154" i="5"/>
  <c r="Q154" i="5" s="1"/>
  <c r="R154" i="5" s="1"/>
  <c r="P153" i="5"/>
  <c r="Q153" i="5" s="1"/>
  <c r="R153" i="5" s="1"/>
  <c r="P152" i="5"/>
  <c r="Q152" i="5" s="1"/>
  <c r="R152" i="5" s="1"/>
  <c r="P151" i="5"/>
  <c r="Q151" i="5" s="1"/>
  <c r="R151" i="5" s="1"/>
  <c r="P150" i="5"/>
  <c r="Q150" i="5" s="1"/>
  <c r="R150" i="5" s="1"/>
  <c r="P149" i="5"/>
  <c r="Q149" i="5" s="1"/>
  <c r="R149" i="5" s="1"/>
  <c r="P148" i="5"/>
  <c r="Q148" i="5" s="1"/>
  <c r="R148" i="5" s="1"/>
  <c r="P147" i="5"/>
  <c r="Q147" i="5" s="1"/>
  <c r="R147" i="5" s="1"/>
  <c r="P146" i="5"/>
  <c r="Q146" i="5" s="1"/>
  <c r="R146" i="5" s="1"/>
  <c r="P145" i="5"/>
  <c r="Q145" i="5" s="1"/>
  <c r="R145" i="5" s="1"/>
  <c r="P144" i="5"/>
  <c r="Q144" i="5" s="1"/>
  <c r="R144" i="5" s="1"/>
  <c r="P143" i="5"/>
  <c r="Q143" i="5" s="1"/>
  <c r="R143" i="5" s="1"/>
  <c r="P142" i="5"/>
  <c r="Q142" i="5" s="1"/>
  <c r="R142" i="5" s="1"/>
  <c r="P141" i="5"/>
  <c r="Q141" i="5" s="1"/>
  <c r="R141" i="5" s="1"/>
  <c r="P140" i="5"/>
  <c r="Q140" i="5" s="1"/>
  <c r="R140" i="5" s="1"/>
  <c r="P139" i="5"/>
  <c r="Q139" i="5" s="1"/>
  <c r="R139" i="5" s="1"/>
  <c r="P138" i="5"/>
  <c r="Q138" i="5" s="1"/>
  <c r="R138" i="5" s="1"/>
  <c r="P137" i="5"/>
  <c r="Q137" i="5" s="1"/>
  <c r="R137" i="5" s="1"/>
  <c r="P136" i="5"/>
  <c r="Q136" i="5" s="1"/>
  <c r="R136" i="5" s="1"/>
  <c r="P135" i="5"/>
  <c r="Q135" i="5" s="1"/>
  <c r="R135" i="5" s="1"/>
  <c r="P134" i="5"/>
  <c r="Q134" i="5" s="1"/>
  <c r="R134" i="5" s="1"/>
  <c r="P133" i="5"/>
  <c r="Q133" i="5" s="1"/>
  <c r="R133" i="5" s="1"/>
  <c r="P132" i="5"/>
  <c r="Q132" i="5" s="1"/>
  <c r="R132" i="5" s="1"/>
  <c r="P131" i="5"/>
  <c r="Q131" i="5" s="1"/>
  <c r="R131" i="5" s="1"/>
  <c r="P130" i="5"/>
  <c r="Q130" i="5" s="1"/>
  <c r="R130" i="5" s="1"/>
  <c r="P129" i="5"/>
  <c r="Q129" i="5" s="1"/>
  <c r="R129" i="5" s="1"/>
  <c r="P128" i="5"/>
  <c r="Q128" i="5" s="1"/>
  <c r="R128" i="5" s="1"/>
  <c r="P127" i="5"/>
  <c r="Q127" i="5" s="1"/>
  <c r="R127" i="5" s="1"/>
  <c r="P126" i="5"/>
  <c r="Q126" i="5" s="1"/>
  <c r="R126" i="5" s="1"/>
  <c r="P125" i="5"/>
  <c r="Q125" i="5" s="1"/>
  <c r="R125" i="5" s="1"/>
  <c r="P124" i="5"/>
  <c r="Q124" i="5" s="1"/>
  <c r="R124" i="5" s="1"/>
  <c r="P123" i="5"/>
  <c r="Q123" i="5" s="1"/>
  <c r="R123" i="5" s="1"/>
  <c r="P122" i="5"/>
  <c r="Q122" i="5" s="1"/>
  <c r="R122" i="5" s="1"/>
  <c r="P121" i="5"/>
  <c r="Q121" i="5" s="1"/>
  <c r="R121" i="5" s="1"/>
  <c r="P120" i="5"/>
  <c r="Q120" i="5" s="1"/>
  <c r="R120" i="5" s="1"/>
  <c r="P119" i="5"/>
  <c r="Q119" i="5" s="1"/>
  <c r="R119" i="5" s="1"/>
  <c r="P118" i="5"/>
  <c r="Q118" i="5" s="1"/>
  <c r="R118" i="5" s="1"/>
  <c r="P117" i="5"/>
  <c r="Q117" i="5" s="1"/>
  <c r="R117" i="5" s="1"/>
  <c r="P116" i="5"/>
  <c r="Q116" i="5" s="1"/>
  <c r="R116" i="5" s="1"/>
  <c r="P115" i="5"/>
  <c r="Q115" i="5" s="1"/>
  <c r="R115" i="5" s="1"/>
  <c r="P114" i="5"/>
  <c r="Q114" i="5" s="1"/>
  <c r="R114" i="5" s="1"/>
  <c r="P113" i="5"/>
  <c r="Q113" i="5" s="1"/>
  <c r="R113" i="5" s="1"/>
  <c r="P112" i="5"/>
  <c r="Q112" i="5" s="1"/>
  <c r="R112" i="5" s="1"/>
  <c r="P111" i="5"/>
  <c r="Q111" i="5" s="1"/>
  <c r="R111" i="5" s="1"/>
  <c r="P110" i="5"/>
  <c r="Q110" i="5" s="1"/>
  <c r="R110" i="5" s="1"/>
  <c r="P109" i="5"/>
  <c r="Q109" i="5" s="1"/>
  <c r="R109" i="5" s="1"/>
  <c r="P108" i="5"/>
  <c r="Q108" i="5" s="1"/>
  <c r="R108" i="5" s="1"/>
  <c r="P107" i="5"/>
  <c r="Q107" i="5" s="1"/>
  <c r="R107" i="5" s="1"/>
  <c r="P106" i="5"/>
  <c r="Q106" i="5" s="1"/>
  <c r="R106" i="5" s="1"/>
  <c r="P105" i="5"/>
  <c r="Q105" i="5" s="1"/>
  <c r="R105" i="5" s="1"/>
  <c r="P104" i="5"/>
  <c r="Q104" i="5" s="1"/>
  <c r="R104" i="5" s="1"/>
  <c r="P103" i="5"/>
  <c r="Q103" i="5" s="1"/>
  <c r="R103" i="5" s="1"/>
  <c r="P102" i="5"/>
  <c r="Q102" i="5" s="1"/>
  <c r="R102" i="5" s="1"/>
  <c r="P101" i="5"/>
  <c r="Q101" i="5" s="1"/>
  <c r="R101" i="5" s="1"/>
  <c r="P100" i="5"/>
  <c r="Q100" i="5" s="1"/>
  <c r="R100" i="5" s="1"/>
  <c r="P99" i="5"/>
  <c r="Q99" i="5" s="1"/>
  <c r="R99" i="5" s="1"/>
  <c r="P98" i="5"/>
  <c r="Q98" i="5" s="1"/>
  <c r="R98" i="5" s="1"/>
  <c r="P97" i="5"/>
  <c r="Q97" i="5" s="1"/>
  <c r="R97" i="5" s="1"/>
  <c r="P96" i="5"/>
  <c r="Q96" i="5" s="1"/>
  <c r="R96" i="5" s="1"/>
  <c r="P95" i="5"/>
  <c r="Q95" i="5" s="1"/>
  <c r="R95" i="5" s="1"/>
  <c r="P94" i="5"/>
  <c r="Q94" i="5" s="1"/>
  <c r="R94" i="5" s="1"/>
  <c r="P93" i="5"/>
  <c r="Q93" i="5" s="1"/>
  <c r="R93" i="5" s="1"/>
  <c r="P92" i="5"/>
  <c r="Q92" i="5" s="1"/>
  <c r="R92" i="5" s="1"/>
  <c r="P91" i="5"/>
  <c r="Q91" i="5" s="1"/>
  <c r="R91" i="5" s="1"/>
  <c r="P90" i="5"/>
  <c r="Q90" i="5" s="1"/>
  <c r="R90" i="5" s="1"/>
  <c r="P89" i="5"/>
  <c r="Q89" i="5" s="1"/>
  <c r="R89" i="5" s="1"/>
  <c r="P88" i="5"/>
  <c r="Q88" i="5" s="1"/>
  <c r="R88" i="5" s="1"/>
  <c r="P87" i="5"/>
  <c r="Q87" i="5" s="1"/>
  <c r="R87" i="5" s="1"/>
  <c r="P86" i="5"/>
  <c r="Q86" i="5" s="1"/>
  <c r="R86" i="5" s="1"/>
  <c r="P85" i="5"/>
  <c r="Q85" i="5" s="1"/>
  <c r="R85" i="5" s="1"/>
  <c r="P84" i="5"/>
  <c r="Q84" i="5" s="1"/>
  <c r="R84" i="5" s="1"/>
  <c r="P83" i="5"/>
  <c r="Q83" i="5" s="1"/>
  <c r="R83" i="5" s="1"/>
  <c r="P82" i="5"/>
  <c r="Q82" i="5" s="1"/>
  <c r="R82" i="5" s="1"/>
  <c r="P81" i="5"/>
  <c r="Q81" i="5" s="1"/>
  <c r="R81" i="5" s="1"/>
  <c r="P80" i="5"/>
  <c r="Q80" i="5" s="1"/>
  <c r="R80" i="5" s="1"/>
  <c r="P79" i="5"/>
  <c r="Q79" i="5" s="1"/>
  <c r="R79" i="5" s="1"/>
  <c r="P78" i="5"/>
  <c r="Q78" i="5" s="1"/>
  <c r="R78" i="5" s="1"/>
  <c r="P77" i="5"/>
  <c r="Q77" i="5" s="1"/>
  <c r="R77" i="5" s="1"/>
  <c r="P76" i="5"/>
  <c r="Q76" i="5" s="1"/>
  <c r="R76" i="5" s="1"/>
  <c r="P75" i="5"/>
  <c r="Q75" i="5" s="1"/>
  <c r="R75" i="5" s="1"/>
  <c r="P74" i="5"/>
  <c r="Q74" i="5" s="1"/>
  <c r="R74" i="5" s="1"/>
  <c r="P73" i="5"/>
  <c r="Q73" i="5" s="1"/>
  <c r="R73" i="5" s="1"/>
  <c r="P72" i="5"/>
  <c r="Q72" i="5" s="1"/>
  <c r="R72" i="5" s="1"/>
  <c r="P71" i="5"/>
  <c r="Q71" i="5" s="1"/>
  <c r="R71" i="5" s="1"/>
  <c r="P70" i="5"/>
  <c r="Q70" i="5" s="1"/>
  <c r="R70" i="5" s="1"/>
  <c r="P69" i="5"/>
  <c r="Q69" i="5" s="1"/>
  <c r="R69" i="5" s="1"/>
  <c r="P68" i="5"/>
  <c r="Q68" i="5" s="1"/>
  <c r="R68" i="5" s="1"/>
  <c r="P67" i="5"/>
  <c r="Q67" i="5" s="1"/>
  <c r="R67" i="5" s="1"/>
  <c r="P66" i="5"/>
  <c r="Q66" i="5" s="1"/>
  <c r="R66" i="5" s="1"/>
  <c r="P65" i="5"/>
  <c r="Q65" i="5" s="1"/>
  <c r="R65" i="5" s="1"/>
  <c r="P64" i="5"/>
  <c r="Q64" i="5" s="1"/>
  <c r="R64" i="5" s="1"/>
  <c r="P63" i="5"/>
  <c r="Q63" i="5" s="1"/>
  <c r="R63" i="5" s="1"/>
  <c r="P62" i="5"/>
  <c r="Q62" i="5" s="1"/>
  <c r="R62" i="5" s="1"/>
  <c r="P61" i="5"/>
  <c r="Q61" i="5" s="1"/>
  <c r="R61" i="5" s="1"/>
  <c r="P60" i="5"/>
  <c r="Q60" i="5" s="1"/>
  <c r="R60" i="5" s="1"/>
  <c r="P59" i="5"/>
  <c r="Q59" i="5" s="1"/>
  <c r="R59" i="5" s="1"/>
  <c r="P58" i="5"/>
  <c r="Q58" i="5" s="1"/>
  <c r="R58" i="5" s="1"/>
  <c r="P57" i="5"/>
  <c r="Q57" i="5" s="1"/>
  <c r="R57" i="5" s="1"/>
  <c r="P56" i="5"/>
  <c r="Q56" i="5" s="1"/>
  <c r="R56" i="5" s="1"/>
  <c r="P55" i="5"/>
  <c r="Q55" i="5" s="1"/>
  <c r="R55" i="5" s="1"/>
  <c r="P54" i="5"/>
  <c r="Q54" i="5" s="1"/>
  <c r="R54" i="5" s="1"/>
  <c r="P53" i="5"/>
  <c r="Q53" i="5" s="1"/>
  <c r="R53" i="5" s="1"/>
  <c r="P52" i="5"/>
  <c r="Q52" i="5" s="1"/>
  <c r="R52" i="5" s="1"/>
  <c r="P51" i="5"/>
  <c r="Q51" i="5" s="1"/>
  <c r="R51" i="5" s="1"/>
  <c r="P50" i="5"/>
  <c r="Q50" i="5" s="1"/>
  <c r="R50" i="5" s="1"/>
  <c r="P49" i="5"/>
  <c r="Q49" i="5" s="1"/>
  <c r="R49" i="5" s="1"/>
  <c r="P48" i="5"/>
  <c r="Q48" i="5" s="1"/>
  <c r="R48" i="5" s="1"/>
  <c r="P47" i="5"/>
  <c r="Q47" i="5" s="1"/>
  <c r="R47" i="5" s="1"/>
  <c r="P46" i="5"/>
  <c r="Q46" i="5" s="1"/>
  <c r="R46" i="5" s="1"/>
  <c r="P45" i="5"/>
  <c r="Q45" i="5" s="1"/>
  <c r="R45" i="5" s="1"/>
  <c r="P44" i="5"/>
  <c r="Q44" i="5" s="1"/>
  <c r="R44" i="5" s="1"/>
  <c r="P43" i="5"/>
  <c r="Q43" i="5" s="1"/>
  <c r="R43" i="5" s="1"/>
  <c r="P42" i="5"/>
  <c r="Q42" i="5" s="1"/>
  <c r="R42" i="5" s="1"/>
  <c r="P41" i="5"/>
  <c r="Q41" i="5" s="1"/>
  <c r="R41" i="5" s="1"/>
  <c r="P40" i="5"/>
  <c r="Q40" i="5" s="1"/>
  <c r="R40" i="5" s="1"/>
  <c r="P39" i="5"/>
  <c r="Q39" i="5" s="1"/>
  <c r="R39" i="5" s="1"/>
  <c r="P38" i="5"/>
  <c r="Q38" i="5" s="1"/>
  <c r="R38" i="5" s="1"/>
  <c r="P37" i="5"/>
  <c r="Q37" i="5" s="1"/>
  <c r="R37" i="5" s="1"/>
  <c r="P36" i="5"/>
  <c r="Q36" i="5" s="1"/>
  <c r="R36" i="5" s="1"/>
  <c r="P35" i="5"/>
  <c r="Q35" i="5" s="1"/>
  <c r="R35" i="5" s="1"/>
  <c r="P34" i="5"/>
  <c r="Q34" i="5" s="1"/>
  <c r="R34" i="5" s="1"/>
  <c r="P33" i="5"/>
  <c r="Q33" i="5" s="1"/>
  <c r="R33" i="5" s="1"/>
  <c r="P32" i="5"/>
  <c r="Q32" i="5" s="1"/>
  <c r="R32" i="5" s="1"/>
  <c r="P31" i="5"/>
  <c r="Q31" i="5" s="1"/>
  <c r="R31" i="5" s="1"/>
  <c r="P30" i="5"/>
  <c r="Q30" i="5" s="1"/>
  <c r="R30" i="5" s="1"/>
  <c r="P29" i="5"/>
  <c r="Q29" i="5" s="1"/>
  <c r="R29" i="5" s="1"/>
  <c r="P28" i="5"/>
  <c r="Q28" i="5" s="1"/>
  <c r="R28" i="5" s="1"/>
  <c r="P27" i="5"/>
  <c r="Q27" i="5" s="1"/>
  <c r="R27" i="5" s="1"/>
  <c r="P26" i="5"/>
  <c r="Q26" i="5" s="1"/>
  <c r="R26" i="5" s="1"/>
  <c r="P25" i="5"/>
  <c r="Q25" i="5" s="1"/>
  <c r="R25" i="5" s="1"/>
  <c r="P24" i="5"/>
  <c r="Q24" i="5" s="1"/>
  <c r="R24" i="5" s="1"/>
  <c r="P23" i="5"/>
  <c r="Q23" i="5" s="1"/>
  <c r="R23" i="5" s="1"/>
  <c r="P22" i="5"/>
  <c r="Q22" i="5" s="1"/>
  <c r="R22" i="5" s="1"/>
  <c r="P21" i="5"/>
  <c r="Q21" i="5" s="1"/>
  <c r="R21" i="5" s="1"/>
  <c r="P20" i="5"/>
  <c r="Q20" i="5" s="1"/>
  <c r="R20" i="5" s="1"/>
  <c r="P19" i="5"/>
  <c r="Q19" i="5" s="1"/>
  <c r="R19" i="5" s="1"/>
  <c r="P18" i="5"/>
  <c r="Q18" i="5" s="1"/>
  <c r="R18" i="5" s="1"/>
  <c r="P17" i="5"/>
  <c r="Q17" i="5" s="1"/>
  <c r="R17" i="5" s="1"/>
  <c r="P16" i="5"/>
  <c r="Q16" i="5" s="1"/>
  <c r="R16" i="5" s="1"/>
  <c r="P15" i="5"/>
  <c r="Q15" i="5" s="1"/>
  <c r="R15" i="5" s="1"/>
  <c r="P14" i="5"/>
  <c r="Q14" i="5" s="1"/>
  <c r="R14" i="5" s="1"/>
  <c r="P13" i="5"/>
  <c r="Q13" i="5" s="1"/>
  <c r="R13" i="5" s="1"/>
  <c r="P12" i="5"/>
  <c r="Q12" i="5" s="1"/>
  <c r="R12" i="5" s="1"/>
  <c r="P11" i="5"/>
  <c r="Q11" i="5" s="1"/>
  <c r="R11" i="5" s="1"/>
  <c r="P10" i="5"/>
  <c r="Q10" i="5" s="1"/>
  <c r="R10" i="5" s="1"/>
  <c r="P9" i="5"/>
  <c r="Q9" i="5" s="1"/>
  <c r="R9" i="5" s="1"/>
  <c r="P8" i="5"/>
  <c r="Q8" i="5" s="1"/>
  <c r="R8" i="5" s="1"/>
  <c r="P7" i="5"/>
  <c r="Q7" i="5" s="1"/>
  <c r="R7" i="5" s="1"/>
  <c r="P6" i="5"/>
  <c r="Q6" i="5" s="1"/>
  <c r="R6" i="5" s="1"/>
  <c r="P5" i="5"/>
  <c r="Q5" i="5" s="1"/>
  <c r="R5" i="5" s="1"/>
  <c r="P4" i="5"/>
  <c r="Q4" i="5" s="1"/>
  <c r="R4" i="5" s="1"/>
  <c r="P3" i="5"/>
  <c r="Q3" i="5" s="1"/>
  <c r="R3" i="5" s="1"/>
  <c r="P2" i="5"/>
  <c r="Q2" i="5" s="1"/>
  <c r="R2" i="5" s="1"/>
  <c r="N242" i="4"/>
  <c r="M242" i="4"/>
  <c r="L242" i="4"/>
  <c r="K242" i="4"/>
  <c r="J242" i="4"/>
  <c r="I242" i="4"/>
  <c r="H242" i="4"/>
  <c r="G242" i="4"/>
  <c r="F242" i="4"/>
  <c r="E242" i="4"/>
  <c r="D242" i="4"/>
  <c r="C242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P232" i="4"/>
  <c r="Q232" i="4" s="1"/>
  <c r="R232" i="4" s="1"/>
  <c r="P231" i="4"/>
  <c r="Q231" i="4" s="1"/>
  <c r="R231" i="4" s="1"/>
  <c r="P230" i="4"/>
  <c r="Q230" i="4" s="1"/>
  <c r="R230" i="4" s="1"/>
  <c r="P229" i="4"/>
  <c r="Q229" i="4" s="1"/>
  <c r="R229" i="4" s="1"/>
  <c r="P228" i="4"/>
  <c r="Q228" i="4" s="1"/>
  <c r="R228" i="4" s="1"/>
  <c r="P227" i="4"/>
  <c r="Q227" i="4" s="1"/>
  <c r="R227" i="4" s="1"/>
  <c r="P226" i="4"/>
  <c r="Q226" i="4" s="1"/>
  <c r="R226" i="4" s="1"/>
  <c r="P225" i="4"/>
  <c r="Q225" i="4" s="1"/>
  <c r="R225" i="4" s="1"/>
  <c r="P224" i="4"/>
  <c r="Q224" i="4" s="1"/>
  <c r="R224" i="4" s="1"/>
  <c r="P223" i="4"/>
  <c r="Q223" i="4" s="1"/>
  <c r="R223" i="4" s="1"/>
  <c r="P222" i="4"/>
  <c r="Q222" i="4" s="1"/>
  <c r="R222" i="4" s="1"/>
  <c r="P221" i="4"/>
  <c r="Q221" i="4" s="1"/>
  <c r="R221" i="4" s="1"/>
  <c r="P220" i="4"/>
  <c r="Q220" i="4" s="1"/>
  <c r="R220" i="4" s="1"/>
  <c r="P219" i="4"/>
  <c r="Q219" i="4" s="1"/>
  <c r="R219" i="4" s="1"/>
  <c r="P218" i="4"/>
  <c r="Q218" i="4" s="1"/>
  <c r="R218" i="4" s="1"/>
  <c r="P217" i="4"/>
  <c r="Q217" i="4" s="1"/>
  <c r="R217" i="4" s="1"/>
  <c r="P216" i="4"/>
  <c r="Q216" i="4" s="1"/>
  <c r="R216" i="4" s="1"/>
  <c r="P215" i="4"/>
  <c r="Q215" i="4" s="1"/>
  <c r="R215" i="4" s="1"/>
  <c r="P214" i="4"/>
  <c r="Q214" i="4" s="1"/>
  <c r="R214" i="4" s="1"/>
  <c r="P213" i="4"/>
  <c r="Q213" i="4" s="1"/>
  <c r="R213" i="4" s="1"/>
  <c r="P212" i="4"/>
  <c r="Q212" i="4" s="1"/>
  <c r="R212" i="4" s="1"/>
  <c r="P211" i="4"/>
  <c r="Q211" i="4" s="1"/>
  <c r="R211" i="4" s="1"/>
  <c r="P210" i="4"/>
  <c r="Q210" i="4" s="1"/>
  <c r="R210" i="4" s="1"/>
  <c r="P209" i="4"/>
  <c r="Q209" i="4" s="1"/>
  <c r="R209" i="4" s="1"/>
  <c r="P208" i="4"/>
  <c r="Q208" i="4" s="1"/>
  <c r="R208" i="4" s="1"/>
  <c r="P207" i="4"/>
  <c r="Q207" i="4" s="1"/>
  <c r="R207" i="4" s="1"/>
  <c r="P206" i="4"/>
  <c r="Q206" i="4" s="1"/>
  <c r="R206" i="4" s="1"/>
  <c r="P205" i="4"/>
  <c r="Q205" i="4" s="1"/>
  <c r="R205" i="4" s="1"/>
  <c r="P204" i="4"/>
  <c r="Q204" i="4" s="1"/>
  <c r="R204" i="4" s="1"/>
  <c r="P203" i="4"/>
  <c r="Q203" i="4" s="1"/>
  <c r="R203" i="4" s="1"/>
  <c r="P202" i="4"/>
  <c r="Q202" i="4" s="1"/>
  <c r="R202" i="4" s="1"/>
  <c r="P201" i="4"/>
  <c r="Q201" i="4" s="1"/>
  <c r="R201" i="4" s="1"/>
  <c r="P200" i="4"/>
  <c r="Q200" i="4" s="1"/>
  <c r="R200" i="4" s="1"/>
  <c r="P199" i="4"/>
  <c r="Q199" i="4" s="1"/>
  <c r="R199" i="4" s="1"/>
  <c r="P198" i="4"/>
  <c r="Q198" i="4" s="1"/>
  <c r="R198" i="4" s="1"/>
  <c r="P197" i="4"/>
  <c r="Q197" i="4" s="1"/>
  <c r="R197" i="4" s="1"/>
  <c r="P196" i="4"/>
  <c r="Q196" i="4" s="1"/>
  <c r="R196" i="4" s="1"/>
  <c r="P195" i="4"/>
  <c r="Q195" i="4" s="1"/>
  <c r="R195" i="4" s="1"/>
  <c r="P194" i="4"/>
  <c r="Q194" i="4" s="1"/>
  <c r="R194" i="4" s="1"/>
  <c r="P193" i="4"/>
  <c r="Q193" i="4" s="1"/>
  <c r="R193" i="4" s="1"/>
  <c r="P192" i="4"/>
  <c r="Q192" i="4" s="1"/>
  <c r="R192" i="4" s="1"/>
  <c r="P191" i="4"/>
  <c r="Q191" i="4" s="1"/>
  <c r="R191" i="4" s="1"/>
  <c r="P190" i="4"/>
  <c r="Q190" i="4" s="1"/>
  <c r="R190" i="4" s="1"/>
  <c r="P189" i="4"/>
  <c r="Q189" i="4" s="1"/>
  <c r="R189" i="4" s="1"/>
  <c r="P188" i="4"/>
  <c r="Q188" i="4" s="1"/>
  <c r="R188" i="4" s="1"/>
  <c r="P187" i="4"/>
  <c r="Q187" i="4" s="1"/>
  <c r="R187" i="4" s="1"/>
  <c r="P186" i="4"/>
  <c r="Q186" i="4" s="1"/>
  <c r="R186" i="4" s="1"/>
  <c r="P185" i="4"/>
  <c r="Q185" i="4" s="1"/>
  <c r="R185" i="4" s="1"/>
  <c r="P184" i="4"/>
  <c r="Q184" i="4" s="1"/>
  <c r="R184" i="4" s="1"/>
  <c r="P183" i="4"/>
  <c r="Q183" i="4" s="1"/>
  <c r="R183" i="4" s="1"/>
  <c r="P182" i="4"/>
  <c r="Q182" i="4" s="1"/>
  <c r="R182" i="4" s="1"/>
  <c r="P181" i="4"/>
  <c r="Q181" i="4" s="1"/>
  <c r="R181" i="4" s="1"/>
  <c r="P180" i="4"/>
  <c r="Q180" i="4" s="1"/>
  <c r="R180" i="4" s="1"/>
  <c r="P179" i="4"/>
  <c r="Q179" i="4" s="1"/>
  <c r="R179" i="4" s="1"/>
  <c r="P178" i="4"/>
  <c r="Q178" i="4" s="1"/>
  <c r="R178" i="4" s="1"/>
  <c r="P177" i="4"/>
  <c r="Q177" i="4" s="1"/>
  <c r="R177" i="4" s="1"/>
  <c r="P176" i="4"/>
  <c r="Q176" i="4" s="1"/>
  <c r="R176" i="4" s="1"/>
  <c r="P175" i="4"/>
  <c r="Q175" i="4" s="1"/>
  <c r="R175" i="4" s="1"/>
  <c r="P174" i="4"/>
  <c r="Q174" i="4" s="1"/>
  <c r="R174" i="4" s="1"/>
  <c r="P173" i="4"/>
  <c r="Q173" i="4" s="1"/>
  <c r="R173" i="4" s="1"/>
  <c r="P172" i="4"/>
  <c r="Q172" i="4" s="1"/>
  <c r="R172" i="4" s="1"/>
  <c r="P171" i="4"/>
  <c r="Q171" i="4" s="1"/>
  <c r="R171" i="4" s="1"/>
  <c r="P170" i="4"/>
  <c r="Q170" i="4" s="1"/>
  <c r="R170" i="4" s="1"/>
  <c r="P169" i="4"/>
  <c r="Q169" i="4" s="1"/>
  <c r="R169" i="4" s="1"/>
  <c r="P168" i="4"/>
  <c r="Q168" i="4" s="1"/>
  <c r="R168" i="4" s="1"/>
  <c r="P167" i="4"/>
  <c r="Q167" i="4" s="1"/>
  <c r="R167" i="4" s="1"/>
  <c r="P166" i="4"/>
  <c r="Q166" i="4" s="1"/>
  <c r="R166" i="4" s="1"/>
  <c r="P165" i="4"/>
  <c r="Q165" i="4" s="1"/>
  <c r="R165" i="4" s="1"/>
  <c r="P164" i="4"/>
  <c r="Q164" i="4" s="1"/>
  <c r="R164" i="4" s="1"/>
  <c r="P163" i="4"/>
  <c r="Q163" i="4" s="1"/>
  <c r="R163" i="4" s="1"/>
  <c r="P162" i="4"/>
  <c r="Q162" i="4" s="1"/>
  <c r="R162" i="4" s="1"/>
  <c r="P161" i="4"/>
  <c r="Q161" i="4" s="1"/>
  <c r="R161" i="4" s="1"/>
  <c r="P160" i="4"/>
  <c r="Q160" i="4" s="1"/>
  <c r="R160" i="4" s="1"/>
  <c r="P159" i="4"/>
  <c r="Q159" i="4" s="1"/>
  <c r="R159" i="4" s="1"/>
  <c r="P158" i="4"/>
  <c r="Q158" i="4" s="1"/>
  <c r="R158" i="4" s="1"/>
  <c r="P157" i="4"/>
  <c r="Q157" i="4" s="1"/>
  <c r="R157" i="4" s="1"/>
  <c r="P156" i="4"/>
  <c r="Q156" i="4" s="1"/>
  <c r="R156" i="4" s="1"/>
  <c r="P155" i="4"/>
  <c r="Q155" i="4" s="1"/>
  <c r="R155" i="4" s="1"/>
  <c r="P154" i="4"/>
  <c r="Q154" i="4" s="1"/>
  <c r="R154" i="4" s="1"/>
  <c r="P153" i="4"/>
  <c r="Q153" i="4" s="1"/>
  <c r="R153" i="4" s="1"/>
  <c r="P152" i="4"/>
  <c r="Q152" i="4" s="1"/>
  <c r="R152" i="4" s="1"/>
  <c r="P151" i="4"/>
  <c r="Q151" i="4" s="1"/>
  <c r="R151" i="4" s="1"/>
  <c r="P150" i="4"/>
  <c r="Q150" i="4" s="1"/>
  <c r="R150" i="4" s="1"/>
  <c r="P149" i="4"/>
  <c r="Q149" i="4" s="1"/>
  <c r="R149" i="4" s="1"/>
  <c r="P148" i="4"/>
  <c r="Q148" i="4" s="1"/>
  <c r="R148" i="4" s="1"/>
  <c r="P147" i="4"/>
  <c r="Q147" i="4" s="1"/>
  <c r="R147" i="4" s="1"/>
  <c r="P146" i="4"/>
  <c r="Q146" i="4" s="1"/>
  <c r="R146" i="4" s="1"/>
  <c r="P145" i="4"/>
  <c r="Q145" i="4" s="1"/>
  <c r="R145" i="4" s="1"/>
  <c r="P144" i="4"/>
  <c r="Q144" i="4" s="1"/>
  <c r="R144" i="4" s="1"/>
  <c r="P143" i="4"/>
  <c r="Q143" i="4" s="1"/>
  <c r="R143" i="4" s="1"/>
  <c r="P142" i="4"/>
  <c r="Q142" i="4" s="1"/>
  <c r="R142" i="4" s="1"/>
  <c r="P141" i="4"/>
  <c r="Q141" i="4" s="1"/>
  <c r="R141" i="4" s="1"/>
  <c r="P140" i="4"/>
  <c r="Q140" i="4" s="1"/>
  <c r="R140" i="4" s="1"/>
  <c r="P139" i="4"/>
  <c r="Q139" i="4" s="1"/>
  <c r="R139" i="4" s="1"/>
  <c r="P138" i="4"/>
  <c r="Q138" i="4" s="1"/>
  <c r="R138" i="4" s="1"/>
  <c r="P137" i="4"/>
  <c r="Q137" i="4" s="1"/>
  <c r="R137" i="4" s="1"/>
  <c r="P136" i="4"/>
  <c r="Q136" i="4" s="1"/>
  <c r="R136" i="4" s="1"/>
  <c r="P135" i="4"/>
  <c r="Q135" i="4" s="1"/>
  <c r="R135" i="4" s="1"/>
  <c r="P134" i="4"/>
  <c r="Q134" i="4" s="1"/>
  <c r="R134" i="4" s="1"/>
  <c r="P133" i="4"/>
  <c r="Q133" i="4" s="1"/>
  <c r="R133" i="4" s="1"/>
  <c r="P132" i="4"/>
  <c r="Q132" i="4" s="1"/>
  <c r="R132" i="4" s="1"/>
  <c r="P131" i="4"/>
  <c r="Q131" i="4" s="1"/>
  <c r="R131" i="4" s="1"/>
  <c r="P130" i="4"/>
  <c r="Q130" i="4" s="1"/>
  <c r="R130" i="4" s="1"/>
  <c r="P129" i="4"/>
  <c r="Q129" i="4" s="1"/>
  <c r="R129" i="4" s="1"/>
  <c r="P128" i="4"/>
  <c r="Q128" i="4" s="1"/>
  <c r="R128" i="4" s="1"/>
  <c r="P127" i="4"/>
  <c r="Q127" i="4" s="1"/>
  <c r="R127" i="4" s="1"/>
  <c r="P126" i="4"/>
  <c r="Q126" i="4" s="1"/>
  <c r="R126" i="4" s="1"/>
  <c r="P125" i="4"/>
  <c r="Q125" i="4" s="1"/>
  <c r="R125" i="4" s="1"/>
  <c r="P124" i="4"/>
  <c r="Q124" i="4" s="1"/>
  <c r="R124" i="4" s="1"/>
  <c r="P123" i="4"/>
  <c r="Q123" i="4" s="1"/>
  <c r="R123" i="4" s="1"/>
  <c r="P122" i="4"/>
  <c r="Q122" i="4" s="1"/>
  <c r="R122" i="4" s="1"/>
  <c r="P121" i="4"/>
  <c r="Q121" i="4" s="1"/>
  <c r="R121" i="4" s="1"/>
  <c r="P120" i="4"/>
  <c r="Q120" i="4" s="1"/>
  <c r="R120" i="4" s="1"/>
  <c r="P119" i="4"/>
  <c r="Q119" i="4" s="1"/>
  <c r="R119" i="4" s="1"/>
  <c r="P118" i="4"/>
  <c r="Q118" i="4" s="1"/>
  <c r="R118" i="4" s="1"/>
  <c r="P117" i="4"/>
  <c r="Q117" i="4" s="1"/>
  <c r="R117" i="4" s="1"/>
  <c r="P116" i="4"/>
  <c r="Q116" i="4" s="1"/>
  <c r="R116" i="4" s="1"/>
  <c r="P115" i="4"/>
  <c r="Q115" i="4" s="1"/>
  <c r="R115" i="4" s="1"/>
  <c r="P114" i="4"/>
  <c r="Q114" i="4" s="1"/>
  <c r="R114" i="4" s="1"/>
  <c r="P113" i="4"/>
  <c r="Q113" i="4" s="1"/>
  <c r="R113" i="4" s="1"/>
  <c r="P112" i="4"/>
  <c r="Q112" i="4" s="1"/>
  <c r="R112" i="4" s="1"/>
  <c r="P111" i="4"/>
  <c r="Q111" i="4" s="1"/>
  <c r="R111" i="4" s="1"/>
  <c r="P110" i="4"/>
  <c r="Q110" i="4" s="1"/>
  <c r="R110" i="4" s="1"/>
  <c r="P109" i="4"/>
  <c r="Q109" i="4" s="1"/>
  <c r="R109" i="4" s="1"/>
  <c r="P108" i="4"/>
  <c r="Q108" i="4" s="1"/>
  <c r="R108" i="4" s="1"/>
  <c r="P107" i="4"/>
  <c r="Q107" i="4" s="1"/>
  <c r="R107" i="4" s="1"/>
  <c r="P106" i="4"/>
  <c r="Q106" i="4" s="1"/>
  <c r="R106" i="4" s="1"/>
  <c r="P105" i="4"/>
  <c r="Q105" i="4" s="1"/>
  <c r="R105" i="4" s="1"/>
  <c r="P104" i="4"/>
  <c r="Q104" i="4" s="1"/>
  <c r="R104" i="4" s="1"/>
  <c r="P103" i="4"/>
  <c r="Q103" i="4" s="1"/>
  <c r="R103" i="4" s="1"/>
  <c r="P102" i="4"/>
  <c r="Q102" i="4" s="1"/>
  <c r="R102" i="4" s="1"/>
  <c r="P101" i="4"/>
  <c r="Q101" i="4" s="1"/>
  <c r="R101" i="4" s="1"/>
  <c r="P100" i="4"/>
  <c r="Q100" i="4" s="1"/>
  <c r="R100" i="4" s="1"/>
  <c r="P99" i="4"/>
  <c r="Q99" i="4" s="1"/>
  <c r="R99" i="4" s="1"/>
  <c r="P98" i="4"/>
  <c r="Q98" i="4" s="1"/>
  <c r="R98" i="4" s="1"/>
  <c r="P97" i="4"/>
  <c r="Q97" i="4" s="1"/>
  <c r="R97" i="4" s="1"/>
  <c r="P96" i="4"/>
  <c r="Q96" i="4" s="1"/>
  <c r="R96" i="4" s="1"/>
  <c r="P95" i="4"/>
  <c r="Q95" i="4" s="1"/>
  <c r="R95" i="4" s="1"/>
  <c r="P94" i="4"/>
  <c r="Q94" i="4" s="1"/>
  <c r="R94" i="4" s="1"/>
  <c r="P93" i="4"/>
  <c r="Q93" i="4" s="1"/>
  <c r="R93" i="4" s="1"/>
  <c r="P92" i="4"/>
  <c r="Q92" i="4" s="1"/>
  <c r="R92" i="4" s="1"/>
  <c r="P91" i="4"/>
  <c r="Q91" i="4" s="1"/>
  <c r="R91" i="4" s="1"/>
  <c r="P90" i="4"/>
  <c r="Q90" i="4" s="1"/>
  <c r="R90" i="4" s="1"/>
  <c r="P89" i="4"/>
  <c r="Q89" i="4" s="1"/>
  <c r="R89" i="4" s="1"/>
  <c r="P88" i="4"/>
  <c r="Q88" i="4" s="1"/>
  <c r="R88" i="4" s="1"/>
  <c r="P87" i="4"/>
  <c r="Q87" i="4" s="1"/>
  <c r="R87" i="4" s="1"/>
  <c r="P86" i="4"/>
  <c r="Q86" i="4" s="1"/>
  <c r="R86" i="4" s="1"/>
  <c r="P85" i="4"/>
  <c r="Q85" i="4" s="1"/>
  <c r="R85" i="4" s="1"/>
  <c r="P84" i="4"/>
  <c r="Q84" i="4" s="1"/>
  <c r="R84" i="4" s="1"/>
  <c r="P83" i="4"/>
  <c r="Q83" i="4" s="1"/>
  <c r="R83" i="4" s="1"/>
  <c r="P82" i="4"/>
  <c r="Q82" i="4" s="1"/>
  <c r="R82" i="4" s="1"/>
  <c r="P81" i="4"/>
  <c r="Q81" i="4" s="1"/>
  <c r="R81" i="4" s="1"/>
  <c r="P80" i="4"/>
  <c r="Q80" i="4" s="1"/>
  <c r="R80" i="4" s="1"/>
  <c r="P79" i="4"/>
  <c r="Q79" i="4" s="1"/>
  <c r="R79" i="4" s="1"/>
  <c r="P78" i="4"/>
  <c r="Q78" i="4" s="1"/>
  <c r="R78" i="4" s="1"/>
  <c r="P77" i="4"/>
  <c r="Q77" i="4" s="1"/>
  <c r="R77" i="4" s="1"/>
  <c r="P76" i="4"/>
  <c r="Q76" i="4" s="1"/>
  <c r="R76" i="4" s="1"/>
  <c r="P75" i="4"/>
  <c r="Q75" i="4" s="1"/>
  <c r="R75" i="4" s="1"/>
  <c r="P74" i="4"/>
  <c r="Q74" i="4" s="1"/>
  <c r="R74" i="4" s="1"/>
  <c r="P73" i="4"/>
  <c r="Q73" i="4" s="1"/>
  <c r="R73" i="4" s="1"/>
  <c r="P72" i="4"/>
  <c r="Q72" i="4" s="1"/>
  <c r="R72" i="4" s="1"/>
  <c r="P71" i="4"/>
  <c r="Q71" i="4" s="1"/>
  <c r="R71" i="4" s="1"/>
  <c r="P70" i="4"/>
  <c r="Q70" i="4" s="1"/>
  <c r="R70" i="4" s="1"/>
  <c r="P69" i="4"/>
  <c r="Q69" i="4" s="1"/>
  <c r="R69" i="4" s="1"/>
  <c r="P68" i="4"/>
  <c r="Q68" i="4" s="1"/>
  <c r="R68" i="4" s="1"/>
  <c r="P67" i="4"/>
  <c r="Q67" i="4" s="1"/>
  <c r="R67" i="4" s="1"/>
  <c r="P66" i="4"/>
  <c r="Q66" i="4" s="1"/>
  <c r="R66" i="4" s="1"/>
  <c r="P65" i="4"/>
  <c r="Q65" i="4" s="1"/>
  <c r="R65" i="4" s="1"/>
  <c r="P64" i="4"/>
  <c r="Q64" i="4" s="1"/>
  <c r="R64" i="4" s="1"/>
  <c r="P63" i="4"/>
  <c r="Q63" i="4" s="1"/>
  <c r="R63" i="4" s="1"/>
  <c r="P62" i="4"/>
  <c r="Q62" i="4" s="1"/>
  <c r="R62" i="4" s="1"/>
  <c r="P61" i="4"/>
  <c r="Q61" i="4" s="1"/>
  <c r="R61" i="4" s="1"/>
  <c r="P60" i="4"/>
  <c r="Q60" i="4" s="1"/>
  <c r="R60" i="4" s="1"/>
  <c r="P59" i="4"/>
  <c r="Q59" i="4" s="1"/>
  <c r="R59" i="4" s="1"/>
  <c r="P58" i="4"/>
  <c r="Q58" i="4" s="1"/>
  <c r="R58" i="4" s="1"/>
  <c r="P57" i="4"/>
  <c r="Q57" i="4" s="1"/>
  <c r="R57" i="4" s="1"/>
  <c r="P56" i="4"/>
  <c r="Q56" i="4" s="1"/>
  <c r="R56" i="4" s="1"/>
  <c r="P55" i="4"/>
  <c r="Q55" i="4" s="1"/>
  <c r="R55" i="4" s="1"/>
  <c r="P54" i="4"/>
  <c r="Q54" i="4" s="1"/>
  <c r="R54" i="4" s="1"/>
  <c r="P53" i="4"/>
  <c r="Q53" i="4" s="1"/>
  <c r="R53" i="4" s="1"/>
  <c r="P52" i="4"/>
  <c r="Q52" i="4" s="1"/>
  <c r="R52" i="4" s="1"/>
  <c r="P51" i="4"/>
  <c r="Q51" i="4" s="1"/>
  <c r="R51" i="4" s="1"/>
  <c r="P50" i="4"/>
  <c r="Q50" i="4" s="1"/>
  <c r="R50" i="4" s="1"/>
  <c r="P49" i="4"/>
  <c r="Q49" i="4" s="1"/>
  <c r="R49" i="4" s="1"/>
  <c r="P48" i="4"/>
  <c r="Q48" i="4" s="1"/>
  <c r="R48" i="4" s="1"/>
  <c r="P47" i="4"/>
  <c r="Q47" i="4" s="1"/>
  <c r="R47" i="4" s="1"/>
  <c r="P46" i="4"/>
  <c r="Q46" i="4" s="1"/>
  <c r="R46" i="4" s="1"/>
  <c r="P45" i="4"/>
  <c r="Q45" i="4" s="1"/>
  <c r="R45" i="4" s="1"/>
  <c r="P44" i="4"/>
  <c r="Q44" i="4" s="1"/>
  <c r="R44" i="4" s="1"/>
  <c r="P43" i="4"/>
  <c r="Q43" i="4" s="1"/>
  <c r="R43" i="4" s="1"/>
  <c r="P42" i="4"/>
  <c r="Q42" i="4" s="1"/>
  <c r="R42" i="4" s="1"/>
  <c r="P41" i="4"/>
  <c r="Q41" i="4" s="1"/>
  <c r="R41" i="4" s="1"/>
  <c r="P40" i="4"/>
  <c r="Q40" i="4" s="1"/>
  <c r="R40" i="4" s="1"/>
  <c r="P39" i="4"/>
  <c r="Q39" i="4" s="1"/>
  <c r="R39" i="4" s="1"/>
  <c r="P38" i="4"/>
  <c r="Q38" i="4" s="1"/>
  <c r="R38" i="4" s="1"/>
  <c r="P37" i="4"/>
  <c r="Q37" i="4" s="1"/>
  <c r="R37" i="4" s="1"/>
  <c r="P36" i="4"/>
  <c r="Q36" i="4" s="1"/>
  <c r="R36" i="4" s="1"/>
  <c r="P35" i="4"/>
  <c r="Q35" i="4" s="1"/>
  <c r="R35" i="4" s="1"/>
  <c r="P34" i="4"/>
  <c r="Q34" i="4" s="1"/>
  <c r="R34" i="4" s="1"/>
  <c r="P33" i="4"/>
  <c r="Q33" i="4" s="1"/>
  <c r="R33" i="4" s="1"/>
  <c r="P32" i="4"/>
  <c r="Q32" i="4" s="1"/>
  <c r="R32" i="4" s="1"/>
  <c r="P31" i="4"/>
  <c r="Q31" i="4" s="1"/>
  <c r="R31" i="4" s="1"/>
  <c r="P30" i="4"/>
  <c r="Q30" i="4" s="1"/>
  <c r="R30" i="4" s="1"/>
  <c r="P29" i="4"/>
  <c r="Q29" i="4" s="1"/>
  <c r="R29" i="4" s="1"/>
  <c r="P28" i="4"/>
  <c r="Q28" i="4" s="1"/>
  <c r="R28" i="4" s="1"/>
  <c r="P27" i="4"/>
  <c r="Q27" i="4" s="1"/>
  <c r="R27" i="4" s="1"/>
  <c r="P26" i="4"/>
  <c r="Q26" i="4" s="1"/>
  <c r="R26" i="4" s="1"/>
  <c r="P25" i="4"/>
  <c r="Q25" i="4" s="1"/>
  <c r="R25" i="4" s="1"/>
  <c r="P24" i="4"/>
  <c r="Q24" i="4" s="1"/>
  <c r="R24" i="4" s="1"/>
  <c r="P23" i="4"/>
  <c r="Q23" i="4" s="1"/>
  <c r="R23" i="4" s="1"/>
  <c r="P22" i="4"/>
  <c r="Q22" i="4" s="1"/>
  <c r="R22" i="4" s="1"/>
  <c r="P21" i="4"/>
  <c r="Q21" i="4" s="1"/>
  <c r="R21" i="4" s="1"/>
  <c r="P20" i="4"/>
  <c r="Q20" i="4" s="1"/>
  <c r="R20" i="4" s="1"/>
  <c r="P19" i="4"/>
  <c r="Q19" i="4" s="1"/>
  <c r="R19" i="4" s="1"/>
  <c r="P18" i="4"/>
  <c r="Q18" i="4" s="1"/>
  <c r="R18" i="4" s="1"/>
  <c r="P17" i="4"/>
  <c r="Q17" i="4" s="1"/>
  <c r="R17" i="4" s="1"/>
  <c r="P16" i="4"/>
  <c r="Q16" i="4" s="1"/>
  <c r="R16" i="4" s="1"/>
  <c r="P15" i="4"/>
  <c r="Q15" i="4" s="1"/>
  <c r="R15" i="4" s="1"/>
  <c r="P14" i="4"/>
  <c r="Q14" i="4" s="1"/>
  <c r="R14" i="4" s="1"/>
  <c r="P13" i="4"/>
  <c r="Q13" i="4" s="1"/>
  <c r="R13" i="4" s="1"/>
  <c r="P12" i="4"/>
  <c r="Q12" i="4" s="1"/>
  <c r="R12" i="4" s="1"/>
  <c r="P11" i="4"/>
  <c r="Q11" i="4" s="1"/>
  <c r="R11" i="4" s="1"/>
  <c r="P10" i="4"/>
  <c r="Q10" i="4" s="1"/>
  <c r="R10" i="4" s="1"/>
  <c r="P9" i="4"/>
  <c r="Q9" i="4" s="1"/>
  <c r="R9" i="4" s="1"/>
  <c r="P8" i="4"/>
  <c r="Q8" i="4" s="1"/>
  <c r="R8" i="4" s="1"/>
  <c r="P7" i="4"/>
  <c r="Q7" i="4" s="1"/>
  <c r="R7" i="4" s="1"/>
  <c r="P6" i="4"/>
  <c r="Q6" i="4" s="1"/>
  <c r="R6" i="4" s="1"/>
  <c r="P5" i="4"/>
  <c r="Q5" i="4" s="1"/>
  <c r="R5" i="4" s="1"/>
  <c r="P4" i="4"/>
  <c r="Q4" i="4" s="1"/>
  <c r="R4" i="4" s="1"/>
  <c r="P3" i="4"/>
  <c r="Q3" i="4" s="1"/>
  <c r="R3" i="4" s="1"/>
  <c r="P2" i="4"/>
  <c r="Q2" i="4" s="1"/>
  <c r="R2" i="4" s="1"/>
  <c r="N239" i="3" l="1"/>
  <c r="M239" i="3"/>
  <c r="L239" i="3"/>
  <c r="K239" i="3"/>
  <c r="J239" i="3"/>
  <c r="I239" i="3"/>
  <c r="H239" i="3"/>
  <c r="G239" i="3"/>
  <c r="F239" i="3"/>
  <c r="E239" i="3"/>
  <c r="D239" i="3"/>
  <c r="C239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P230" i="3"/>
  <c r="Q230" i="3" s="1"/>
  <c r="P229" i="3"/>
  <c r="Q229" i="3" s="1"/>
  <c r="P228" i="3"/>
  <c r="Q228" i="3" s="1"/>
  <c r="P227" i="3"/>
  <c r="Q227" i="3" s="1"/>
  <c r="P226" i="3"/>
  <c r="Q226" i="3" s="1"/>
  <c r="P225" i="3"/>
  <c r="Q225" i="3" s="1"/>
  <c r="Q224" i="3"/>
  <c r="P224" i="3"/>
  <c r="P223" i="3"/>
  <c r="Q223" i="3" s="1"/>
  <c r="P222" i="3"/>
  <c r="Q222" i="3" s="1"/>
  <c r="P221" i="3"/>
  <c r="Q221" i="3" s="1"/>
  <c r="Q220" i="3"/>
  <c r="P220" i="3"/>
  <c r="P219" i="3"/>
  <c r="Q219" i="3" s="1"/>
  <c r="P218" i="3"/>
  <c r="Q218" i="3" s="1"/>
  <c r="P217" i="3"/>
  <c r="Q217" i="3" s="1"/>
  <c r="Q216" i="3"/>
  <c r="P216" i="3"/>
  <c r="P215" i="3"/>
  <c r="Q215" i="3" s="1"/>
  <c r="P214" i="3"/>
  <c r="Q214" i="3" s="1"/>
  <c r="P213" i="3"/>
  <c r="Q213" i="3" s="1"/>
  <c r="Q212" i="3"/>
  <c r="P212" i="3"/>
  <c r="P211" i="3"/>
  <c r="Q211" i="3" s="1"/>
  <c r="P210" i="3"/>
  <c r="Q210" i="3" s="1"/>
  <c r="P209" i="3"/>
  <c r="Q209" i="3" s="1"/>
  <c r="Q208" i="3"/>
  <c r="P208" i="3"/>
  <c r="P207" i="3"/>
  <c r="Q207" i="3" s="1"/>
  <c r="P206" i="3"/>
  <c r="Q206" i="3" s="1"/>
  <c r="P205" i="3"/>
  <c r="Q205" i="3" s="1"/>
  <c r="Q204" i="3"/>
  <c r="P204" i="3"/>
  <c r="P203" i="3"/>
  <c r="Q203" i="3" s="1"/>
  <c r="P202" i="3"/>
  <c r="Q202" i="3" s="1"/>
  <c r="P201" i="3"/>
  <c r="Q201" i="3" s="1"/>
  <c r="Q200" i="3"/>
  <c r="P200" i="3"/>
  <c r="P199" i="3"/>
  <c r="Q199" i="3" s="1"/>
  <c r="P198" i="3"/>
  <c r="Q198" i="3" s="1"/>
  <c r="P197" i="3"/>
  <c r="Q197" i="3" s="1"/>
  <c r="Q196" i="3"/>
  <c r="P196" i="3"/>
  <c r="P195" i="3"/>
  <c r="Q195" i="3" s="1"/>
  <c r="P194" i="3"/>
  <c r="Q194" i="3" s="1"/>
  <c r="P193" i="3"/>
  <c r="Q193" i="3" s="1"/>
  <c r="Q192" i="3"/>
  <c r="P192" i="3"/>
  <c r="P191" i="3"/>
  <c r="Q191" i="3" s="1"/>
  <c r="P190" i="3"/>
  <c r="Q190" i="3" s="1"/>
  <c r="P189" i="3"/>
  <c r="Q189" i="3" s="1"/>
  <c r="Q188" i="3"/>
  <c r="P188" i="3"/>
  <c r="P187" i="3"/>
  <c r="Q187" i="3" s="1"/>
  <c r="P186" i="3"/>
  <c r="Q186" i="3" s="1"/>
  <c r="P185" i="3"/>
  <c r="Q185" i="3" s="1"/>
  <c r="Q184" i="3"/>
  <c r="P184" i="3"/>
  <c r="P183" i="3"/>
  <c r="Q183" i="3" s="1"/>
  <c r="P182" i="3"/>
  <c r="Q182" i="3" s="1"/>
  <c r="P181" i="3"/>
  <c r="Q181" i="3" s="1"/>
  <c r="Q180" i="3"/>
  <c r="P180" i="3"/>
  <c r="P179" i="3"/>
  <c r="Q179" i="3" s="1"/>
  <c r="P178" i="3"/>
  <c r="Q178" i="3" s="1"/>
  <c r="P177" i="3"/>
  <c r="Q177" i="3" s="1"/>
  <c r="Q176" i="3"/>
  <c r="P176" i="3"/>
  <c r="P175" i="3"/>
  <c r="Q175" i="3" s="1"/>
  <c r="P174" i="3"/>
  <c r="Q174" i="3" s="1"/>
  <c r="P173" i="3"/>
  <c r="Q173" i="3" s="1"/>
  <c r="Q172" i="3"/>
  <c r="P172" i="3"/>
  <c r="P171" i="3"/>
  <c r="Q171" i="3" s="1"/>
  <c r="P170" i="3"/>
  <c r="Q170" i="3" s="1"/>
  <c r="P169" i="3"/>
  <c r="Q169" i="3" s="1"/>
  <c r="Q168" i="3"/>
  <c r="P168" i="3"/>
  <c r="P167" i="3"/>
  <c r="Q167" i="3" s="1"/>
  <c r="P166" i="3"/>
  <c r="Q166" i="3" s="1"/>
  <c r="P165" i="3"/>
  <c r="Q165" i="3" s="1"/>
  <c r="Q164" i="3"/>
  <c r="P164" i="3"/>
  <c r="P163" i="3"/>
  <c r="Q163" i="3" s="1"/>
  <c r="P162" i="3"/>
  <c r="Q162" i="3" s="1"/>
  <c r="P161" i="3"/>
  <c r="Q161" i="3" s="1"/>
  <c r="Q160" i="3"/>
  <c r="P160" i="3"/>
  <c r="P159" i="3"/>
  <c r="Q159" i="3" s="1"/>
  <c r="P158" i="3"/>
  <c r="Q158" i="3" s="1"/>
  <c r="P157" i="3"/>
  <c r="Q157" i="3" s="1"/>
  <c r="Q156" i="3"/>
  <c r="P156" i="3"/>
  <c r="P155" i="3"/>
  <c r="Q155" i="3" s="1"/>
  <c r="P154" i="3"/>
  <c r="Q154" i="3" s="1"/>
  <c r="P153" i="3"/>
  <c r="Q153" i="3" s="1"/>
  <c r="Q152" i="3"/>
  <c r="P152" i="3"/>
  <c r="P151" i="3"/>
  <c r="Q151" i="3" s="1"/>
  <c r="P150" i="3"/>
  <c r="Q150" i="3" s="1"/>
  <c r="P149" i="3"/>
  <c r="Q149" i="3" s="1"/>
  <c r="Q148" i="3"/>
  <c r="P148" i="3"/>
  <c r="P147" i="3"/>
  <c r="Q147" i="3" s="1"/>
  <c r="P146" i="3"/>
  <c r="Q146" i="3" s="1"/>
  <c r="P145" i="3"/>
  <c r="Q145" i="3" s="1"/>
  <c r="Q144" i="3"/>
  <c r="P144" i="3"/>
  <c r="P143" i="3"/>
  <c r="Q143" i="3" s="1"/>
  <c r="P142" i="3"/>
  <c r="Q142" i="3" s="1"/>
  <c r="P141" i="3"/>
  <c r="Q141" i="3" s="1"/>
  <c r="Q140" i="3"/>
  <c r="P140" i="3"/>
  <c r="P139" i="3"/>
  <c r="Q139" i="3" s="1"/>
  <c r="P138" i="3"/>
  <c r="Q138" i="3" s="1"/>
  <c r="P137" i="3"/>
  <c r="Q137" i="3" s="1"/>
  <c r="P136" i="3"/>
  <c r="Q136" i="3" s="1"/>
  <c r="P135" i="3"/>
  <c r="Q135" i="3" s="1"/>
  <c r="P134" i="3"/>
  <c r="Q134" i="3" s="1"/>
  <c r="P133" i="3"/>
  <c r="Q133" i="3" s="1"/>
  <c r="Q132" i="3"/>
  <c r="P132" i="3"/>
  <c r="P131" i="3"/>
  <c r="Q131" i="3" s="1"/>
  <c r="P130" i="3"/>
  <c r="Q130" i="3" s="1"/>
  <c r="P129" i="3"/>
  <c r="Q129" i="3" s="1"/>
  <c r="P128" i="3"/>
  <c r="Q128" i="3" s="1"/>
  <c r="P127" i="3"/>
  <c r="Q127" i="3" s="1"/>
  <c r="P126" i="3"/>
  <c r="Q126" i="3" s="1"/>
  <c r="P125" i="3"/>
  <c r="Q125" i="3" s="1"/>
  <c r="P124" i="3"/>
  <c r="Q124" i="3" s="1"/>
  <c r="P123" i="3"/>
  <c r="Q123" i="3" s="1"/>
  <c r="P122" i="3"/>
  <c r="Q122" i="3" s="1"/>
  <c r="P121" i="3"/>
  <c r="Q121" i="3" s="1"/>
  <c r="P120" i="3"/>
  <c r="Q120" i="3" s="1"/>
  <c r="P119" i="3"/>
  <c r="Q119" i="3" s="1"/>
  <c r="P118" i="3"/>
  <c r="Q118" i="3" s="1"/>
  <c r="P117" i="3"/>
  <c r="Q117" i="3" s="1"/>
  <c r="P116" i="3"/>
  <c r="Q116" i="3" s="1"/>
  <c r="P115" i="3"/>
  <c r="Q115" i="3" s="1"/>
  <c r="P114" i="3"/>
  <c r="Q114" i="3" s="1"/>
  <c r="P113" i="3"/>
  <c r="Q113" i="3" s="1"/>
  <c r="P112" i="3"/>
  <c r="Q112" i="3" s="1"/>
  <c r="P111" i="3"/>
  <c r="Q111" i="3" s="1"/>
  <c r="P110" i="3"/>
  <c r="Q110" i="3" s="1"/>
  <c r="P109" i="3"/>
  <c r="Q109" i="3" s="1"/>
  <c r="P108" i="3"/>
  <c r="Q108" i="3" s="1"/>
  <c r="P107" i="3"/>
  <c r="Q107" i="3" s="1"/>
  <c r="P106" i="3"/>
  <c r="Q106" i="3" s="1"/>
  <c r="P105" i="3"/>
  <c r="Q105" i="3" s="1"/>
  <c r="P104" i="3"/>
  <c r="Q104" i="3" s="1"/>
  <c r="P103" i="3"/>
  <c r="Q103" i="3" s="1"/>
  <c r="P102" i="3"/>
  <c r="Q102" i="3" s="1"/>
  <c r="P101" i="3"/>
  <c r="Q101" i="3" s="1"/>
  <c r="P100" i="3"/>
  <c r="Q100" i="3" s="1"/>
  <c r="P99" i="3"/>
  <c r="Q99" i="3" s="1"/>
  <c r="P98" i="3"/>
  <c r="Q98" i="3" s="1"/>
  <c r="P97" i="3"/>
  <c r="Q97" i="3" s="1"/>
  <c r="P96" i="3"/>
  <c r="Q96" i="3" s="1"/>
  <c r="P95" i="3"/>
  <c r="Q95" i="3" s="1"/>
  <c r="P94" i="3"/>
  <c r="Q94" i="3" s="1"/>
  <c r="P93" i="3"/>
  <c r="Q93" i="3" s="1"/>
  <c r="P92" i="3"/>
  <c r="Q92" i="3" s="1"/>
  <c r="P91" i="3"/>
  <c r="Q91" i="3" s="1"/>
  <c r="P90" i="3"/>
  <c r="Q90" i="3" s="1"/>
  <c r="P89" i="3"/>
  <c r="Q89" i="3" s="1"/>
  <c r="P88" i="3"/>
  <c r="Q88" i="3" s="1"/>
  <c r="P87" i="3"/>
  <c r="Q87" i="3" s="1"/>
  <c r="P86" i="3"/>
  <c r="Q86" i="3" s="1"/>
  <c r="P85" i="3"/>
  <c r="Q85" i="3" s="1"/>
  <c r="P84" i="3"/>
  <c r="Q84" i="3" s="1"/>
  <c r="P83" i="3"/>
  <c r="Q83" i="3" s="1"/>
  <c r="P82" i="3"/>
  <c r="Q82" i="3" s="1"/>
  <c r="P81" i="3"/>
  <c r="Q81" i="3" s="1"/>
  <c r="P80" i="3"/>
  <c r="Q80" i="3" s="1"/>
  <c r="P79" i="3"/>
  <c r="Q79" i="3" s="1"/>
  <c r="P78" i="3"/>
  <c r="Q78" i="3" s="1"/>
  <c r="P77" i="3"/>
  <c r="Q77" i="3" s="1"/>
  <c r="P76" i="3"/>
  <c r="Q76" i="3" s="1"/>
  <c r="P75" i="3"/>
  <c r="Q75" i="3" s="1"/>
  <c r="P74" i="3"/>
  <c r="Q74" i="3" s="1"/>
  <c r="P73" i="3"/>
  <c r="Q73" i="3" s="1"/>
  <c r="P72" i="3"/>
  <c r="Q72" i="3" s="1"/>
  <c r="P71" i="3"/>
  <c r="Q71" i="3" s="1"/>
  <c r="P70" i="3"/>
  <c r="Q70" i="3" s="1"/>
  <c r="P69" i="3"/>
  <c r="Q69" i="3" s="1"/>
  <c r="P68" i="3"/>
  <c r="Q68" i="3" s="1"/>
  <c r="P67" i="3"/>
  <c r="Q67" i="3" s="1"/>
  <c r="P66" i="3"/>
  <c r="Q66" i="3" s="1"/>
  <c r="P65" i="3"/>
  <c r="Q65" i="3" s="1"/>
  <c r="P64" i="3"/>
  <c r="Q64" i="3" s="1"/>
  <c r="P63" i="3"/>
  <c r="Q63" i="3" s="1"/>
  <c r="P62" i="3"/>
  <c r="Q62" i="3" s="1"/>
  <c r="P61" i="3"/>
  <c r="Q61" i="3" s="1"/>
  <c r="P60" i="3"/>
  <c r="Q60" i="3" s="1"/>
  <c r="P59" i="3"/>
  <c r="Q59" i="3" s="1"/>
  <c r="P58" i="3"/>
  <c r="Q58" i="3" s="1"/>
  <c r="P57" i="3"/>
  <c r="Q57" i="3" s="1"/>
  <c r="P56" i="3"/>
  <c r="Q56" i="3" s="1"/>
  <c r="P55" i="3"/>
  <c r="Q55" i="3" s="1"/>
  <c r="P54" i="3"/>
  <c r="Q54" i="3" s="1"/>
  <c r="P53" i="3"/>
  <c r="Q53" i="3" s="1"/>
  <c r="P52" i="3"/>
  <c r="Q52" i="3" s="1"/>
  <c r="P51" i="3"/>
  <c r="Q51" i="3" s="1"/>
  <c r="P50" i="3"/>
  <c r="Q50" i="3" s="1"/>
  <c r="P49" i="3"/>
  <c r="Q49" i="3" s="1"/>
  <c r="P48" i="3"/>
  <c r="Q48" i="3" s="1"/>
  <c r="P47" i="3"/>
  <c r="Q47" i="3" s="1"/>
  <c r="P46" i="3"/>
  <c r="Q46" i="3" s="1"/>
  <c r="P45" i="3"/>
  <c r="Q45" i="3" s="1"/>
  <c r="P44" i="3"/>
  <c r="Q44" i="3" s="1"/>
  <c r="P43" i="3"/>
  <c r="Q43" i="3" s="1"/>
  <c r="P42" i="3"/>
  <c r="Q42" i="3" s="1"/>
  <c r="P41" i="3"/>
  <c r="Q41" i="3" s="1"/>
  <c r="P40" i="3"/>
  <c r="Q40" i="3" s="1"/>
  <c r="P39" i="3"/>
  <c r="Q39" i="3" s="1"/>
  <c r="P38" i="3"/>
  <c r="Q38" i="3" s="1"/>
  <c r="P37" i="3"/>
  <c r="Q37" i="3" s="1"/>
  <c r="P36" i="3"/>
  <c r="Q36" i="3" s="1"/>
  <c r="P35" i="3"/>
  <c r="Q35" i="3" s="1"/>
  <c r="P34" i="3"/>
  <c r="Q34" i="3" s="1"/>
  <c r="P33" i="3"/>
  <c r="Q33" i="3" s="1"/>
  <c r="P32" i="3"/>
  <c r="Q32" i="3" s="1"/>
  <c r="P31" i="3"/>
  <c r="Q31" i="3" s="1"/>
  <c r="P30" i="3"/>
  <c r="Q30" i="3" s="1"/>
  <c r="P29" i="3"/>
  <c r="Q29" i="3" s="1"/>
  <c r="P28" i="3"/>
  <c r="Q28" i="3" s="1"/>
  <c r="P27" i="3"/>
  <c r="Q27" i="3" s="1"/>
  <c r="P26" i="3"/>
  <c r="Q26" i="3" s="1"/>
  <c r="P25" i="3"/>
  <c r="Q25" i="3" s="1"/>
  <c r="P24" i="3"/>
  <c r="Q24" i="3" s="1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Q14" i="3" s="1"/>
  <c r="P13" i="3"/>
  <c r="Q13" i="3" s="1"/>
  <c r="P12" i="3"/>
  <c r="Q12" i="3" s="1"/>
  <c r="P11" i="3"/>
  <c r="Q11" i="3" s="1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  <c r="P4" i="3"/>
  <c r="Q4" i="3" s="1"/>
  <c r="P3" i="3"/>
  <c r="Q3" i="3" s="1"/>
  <c r="P2" i="3"/>
  <c r="Q2" i="3" s="1"/>
  <c r="C244" i="2" l="1"/>
  <c r="C243" i="2"/>
  <c r="C242" i="2"/>
  <c r="C241" i="2"/>
  <c r="C240" i="2"/>
  <c r="C239" i="2"/>
  <c r="C238" i="2"/>
  <c r="C237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4" i="1" l="1"/>
  <c r="L3" i="1"/>
  <c r="L5" i="1"/>
</calcChain>
</file>

<file path=xl/sharedStrings.xml><?xml version="1.0" encoding="utf-8"?>
<sst xmlns="http://schemas.openxmlformats.org/spreadsheetml/2006/main" count="3144" uniqueCount="339">
  <si>
    <t>STUDENT NAME</t>
  </si>
  <si>
    <t xml:space="preserve">DIAGNOSTIC EXAMINATION </t>
  </si>
  <si>
    <t>PROGRESS EVALUATION</t>
  </si>
  <si>
    <t>MOCK BOARDS</t>
  </si>
  <si>
    <t>POST TEST</t>
  </si>
  <si>
    <t>PRE TEST</t>
  </si>
  <si>
    <t xml:space="preserve">Adornado, Ma. Carla B. </t>
  </si>
  <si>
    <t>Albao, Pauline Kim Lerit</t>
  </si>
  <si>
    <t>Amor, Merryl Grace G.</t>
  </si>
  <si>
    <t>Aragon, Earl Jason N.</t>
  </si>
  <si>
    <t>Arce, Brigette</t>
  </si>
  <si>
    <t>Atienza, Melissa Marie M.</t>
  </si>
  <si>
    <t>Bagalacsa, James Ryan L.</t>
  </si>
  <si>
    <t>Barce, Cathryn Marie S.</t>
  </si>
  <si>
    <t>Barce, Dennis A.</t>
  </si>
  <si>
    <t>Barra, Edda Christine Taduran</t>
  </si>
  <si>
    <t>Bartolo, Jairo</t>
  </si>
  <si>
    <t>Beato, Maria Claris Jane B.</t>
  </si>
  <si>
    <t>Benegas, Thea Mae E.</t>
  </si>
  <si>
    <t>Berja, Marian P.</t>
  </si>
  <si>
    <t>Bron, Nicola Faye B.</t>
  </si>
  <si>
    <t>Burgos, Ma. Russelle F.</t>
  </si>
  <si>
    <t>Caballero, Eloisa Victoria, Manaog</t>
  </si>
  <si>
    <t>Cerillo, Jimmy L.</t>
  </si>
  <si>
    <t>Claro, Aubrey Mae D.</t>
  </si>
  <si>
    <t>Cortes, Rhoda Ecila Mae Soriano</t>
  </si>
  <si>
    <t>Cruz, Patricia Danielle De Los Reyes</t>
  </si>
  <si>
    <t>Dasmariñas, Jed Travis Ibarreta</t>
  </si>
  <si>
    <t>Daza, Djev David</t>
  </si>
  <si>
    <t>Delos Santos, Techie E.</t>
  </si>
  <si>
    <t>Dizon, Bianca Grace B</t>
  </si>
  <si>
    <t>Egwaras, Jan Rea</t>
  </si>
  <si>
    <t>Escobal, Angelica May P.</t>
  </si>
  <si>
    <t>Estacio, James Anthony A.</t>
  </si>
  <si>
    <t>Eugenio, Cyrene M.</t>
  </si>
  <si>
    <t>Fortuno, Carmela Joyce A.</t>
  </si>
  <si>
    <t>GAMBOA, KYRA LIANNE H.</t>
  </si>
  <si>
    <t>Gaminde, Evander T.</t>
  </si>
  <si>
    <t>Garcia, Homyr L.</t>
  </si>
  <si>
    <t>Gayon, Regine May P</t>
  </si>
  <si>
    <t>Hugo, James Astrera</t>
  </si>
  <si>
    <t>Ibarreta, Jesa I.</t>
  </si>
  <si>
    <t>Lee, Thalin Cherie C</t>
  </si>
  <si>
    <t>Malate, Marianne T.</t>
  </si>
  <si>
    <t>Moreno, Gwyn Christianne E.</t>
  </si>
  <si>
    <t>Nebres-Alday, Julianne Arantxa S.</t>
  </si>
  <si>
    <t>Nuñez, Justine Marie D.</t>
  </si>
  <si>
    <t>Ocmer, Alyssa Zenn N.</t>
  </si>
  <si>
    <t>Palima, Dhieter John I.</t>
  </si>
  <si>
    <t>Peñaflor, Maria Elena F.</t>
  </si>
  <si>
    <t>Perez, Lawrence Bernardo</t>
  </si>
  <si>
    <t>Piano, Emy Eloisa A.</t>
  </si>
  <si>
    <t>Portugal, Judy Grace V.</t>
  </si>
  <si>
    <t>Rejante, Tami Olivia D.</t>
  </si>
  <si>
    <t>Relucio, Alrianne Mica E.</t>
  </si>
  <si>
    <t>Ricafort, Bence C.</t>
  </si>
  <si>
    <t>Rojas, Mark Jacob D.</t>
  </si>
  <si>
    <t>Rosales, Kathleene Mae L.</t>
  </si>
  <si>
    <t>Rull, Josiah Noella B.</t>
  </si>
  <si>
    <t>Sambajon, Antoniette Charmaine L.</t>
  </si>
  <si>
    <t>SAN ANDRES, JASON RAFAELA.</t>
  </si>
  <si>
    <t>Sta. Rosa, Gerard Paul O.</t>
  </si>
  <si>
    <t>Tolentino, Catherine Conde</t>
  </si>
  <si>
    <t xml:space="preserve">Ubaña, Emmanuel Joshua </t>
  </si>
  <si>
    <t>Vargas, Kaitlyn Grace C.</t>
  </si>
  <si>
    <t>Villeno, Ayana April Joyce C.</t>
  </si>
  <si>
    <t>Villeno, Jan Rod C.</t>
  </si>
  <si>
    <t>Abarca, Kristelle Mae M.</t>
  </si>
  <si>
    <t>Abella, Hansi Grace T.</t>
  </si>
  <si>
    <t>Eneria, Jonathan Andaleon</t>
  </si>
  <si>
    <t xml:space="preserve">Mulleda, Christine Joy V. </t>
  </si>
  <si>
    <t>Baagen,Sandi Normi</t>
  </si>
  <si>
    <t>Baniqued, Joanna Nicole Gurieza</t>
  </si>
  <si>
    <t>Barba, Jheronique Fei M.</t>
  </si>
  <si>
    <t>Brasuela, Reena Bonete</t>
  </si>
  <si>
    <t>Dulnuan, Derick Dave</t>
  </si>
  <si>
    <t>Esguerra, Pauline Joyce V.</t>
  </si>
  <si>
    <t>Fines, Kevin Cabuena</t>
  </si>
  <si>
    <t>Floresca, Reymond-Gie</t>
  </si>
  <si>
    <t>Garcia, Khristine Clarice Princess U.</t>
  </si>
  <si>
    <t>Ignacio, Carlo Paulo U.</t>
  </si>
  <si>
    <t>Joven, Gretelle Macie F</t>
  </si>
  <si>
    <t>Lacasandile, Danielle B.</t>
  </si>
  <si>
    <t>Lazo, Rica Mae Soriano</t>
  </si>
  <si>
    <t>LEONES, CLESHER MAE PRINCESS R.</t>
  </si>
  <si>
    <t>Manlong, Zinnia May F.</t>
  </si>
  <si>
    <t>MAYRENA, KRISHNA MAE, S.</t>
  </si>
  <si>
    <t>Nitura, Aurzyhannah Frances Giron</t>
  </si>
  <si>
    <t>Perez, Krystel Ericka Castillo</t>
  </si>
  <si>
    <t>Pitagan, Galda Boy T.</t>
  </si>
  <si>
    <t>Ramos, Russel S.</t>
  </si>
  <si>
    <t>Rebolledo, Kimberlyn Jynne</t>
  </si>
  <si>
    <t>Rios, Pamela Isabella Nolasco</t>
  </si>
  <si>
    <t>Ronas, Glyian Reia Lalas</t>
  </si>
  <si>
    <t>Salesale, Mariz B.</t>
  </si>
  <si>
    <t>Sequerra, Sherrie Fritz A.</t>
  </si>
  <si>
    <t>Sevilla, Alex Jay III G</t>
  </si>
  <si>
    <t>Tan Jr., Edwin Paolo Agloro</t>
  </si>
  <si>
    <t>Torres, Maria Jovic Namnama Diaz</t>
  </si>
  <si>
    <t>Viduya, Sharlene Mae P.</t>
  </si>
  <si>
    <t>Villadolid, James Kharl Russelle L.</t>
  </si>
  <si>
    <t>Wattang, Rochelle Anne, A.</t>
  </si>
  <si>
    <t>Aguilar, Allysa</t>
  </si>
  <si>
    <t>Albacite, Francis Jan Seth</t>
  </si>
  <si>
    <t>Alihuddin, Leafe B.</t>
  </si>
  <si>
    <t>Alivio, Carmela Francesca</t>
  </si>
  <si>
    <t>Avena, Mary Faith Xandice</t>
  </si>
  <si>
    <t>Batallones, Jan Sigfrid</t>
  </si>
  <si>
    <t>Biscocho, Maria Allesandra</t>
  </si>
  <si>
    <t>Caabay, Ferdinand Jr</t>
  </si>
  <si>
    <t>Calderon, Maylene</t>
  </si>
  <si>
    <t>Castro, Princess Joana</t>
  </si>
  <si>
    <t>Clavito, Sherwin</t>
  </si>
  <si>
    <t>Consignado, Nina Joyce</t>
  </si>
  <si>
    <t>Cruz, Kristine Antoinette</t>
  </si>
  <si>
    <t>Felizardo, Armaine</t>
  </si>
  <si>
    <t>Geronimo, Jillian</t>
  </si>
  <si>
    <t>Gomez, Aila Marie</t>
  </si>
  <si>
    <t>Gutierrez, Mark Anthony</t>
  </si>
  <si>
    <t>Ladia, Femar</t>
  </si>
  <si>
    <t>Lucas, Jay Jansel</t>
  </si>
  <si>
    <t>Marquez-Fernando, Ayesha</t>
  </si>
  <si>
    <t>Marquez, Ryan Loyd</t>
  </si>
  <si>
    <t>Matias, Mark</t>
  </si>
  <si>
    <t>Mendoza, Nichole</t>
  </si>
  <si>
    <t>Peralta, Isac Jurish</t>
  </si>
  <si>
    <t>Pila, John Amielle</t>
  </si>
  <si>
    <t>Punongbayan, Andrew</t>
  </si>
  <si>
    <t>Reyes, Cecil Christine</t>
  </si>
  <si>
    <t>Sangil, Mitch</t>
  </si>
  <si>
    <t>Santos, Diosa</t>
  </si>
  <si>
    <t>Tayao, Chelsea Dominique</t>
  </si>
  <si>
    <t>Usop, Devorah Claire</t>
  </si>
  <si>
    <t>Valencia, Kate Bianca</t>
  </si>
  <si>
    <t>Valenzuela, Nielle</t>
  </si>
  <si>
    <t>Valeros, Ma. Aireen</t>
  </si>
  <si>
    <t>Zerrudo, Andrew</t>
  </si>
  <si>
    <t>Adad, Jhazmine Joy S.</t>
  </si>
  <si>
    <t>Aldana, Minette Andrea Q.</t>
  </si>
  <si>
    <t>Ansari, Maleeha A.</t>
  </si>
  <si>
    <t>Arcilla, Edward Ashley T.</t>
  </si>
  <si>
    <t>Bajalla, Rudnie Jr. F.</t>
  </si>
  <si>
    <t>Castillo, Alodia Eunicia O.</t>
  </si>
  <si>
    <t>Cha, Trinity Ave M.</t>
  </si>
  <si>
    <t>Crescini, Jonelle S.</t>
  </si>
  <si>
    <t>Crisostomo, Mark O.</t>
  </si>
  <si>
    <t>Cudal, Von Benjamin</t>
  </si>
  <si>
    <t>Dimaun, Jhanna Kimberlie Q.</t>
  </si>
  <si>
    <t>Eisma, Dianne Jean J.</t>
  </si>
  <si>
    <t>Esguerra, Justine Anne A.</t>
  </si>
  <si>
    <t>Eugenio, Nelson O.</t>
  </si>
  <si>
    <t>Ferrer, Jan Nicole D.</t>
  </si>
  <si>
    <t>Galo, Kate Shannon R.</t>
  </si>
  <si>
    <t>Horca, Mary Joyce M.</t>
  </si>
  <si>
    <t>Lobendino, Ayra Alison C.</t>
  </si>
  <si>
    <t>Lopez, Shaira Denice A.</t>
  </si>
  <si>
    <t>Lucas, Jenahmae Marie U.</t>
  </si>
  <si>
    <t>Lugo, Ella Mae M.</t>
  </si>
  <si>
    <t>Lumanog, Sophia Nicole E.</t>
  </si>
  <si>
    <t>Macalinga, Hyacinth G.</t>
  </si>
  <si>
    <t>Magboo, Ailea Kathleen L.</t>
  </si>
  <si>
    <t>Mallari, Miguel Kristien G.</t>
  </si>
  <si>
    <t>Manahan, Lorielen Mari T.</t>
  </si>
  <si>
    <t>Maniego, Mary Louise C.</t>
  </si>
  <si>
    <t>Narag, Micah Ferenz T.</t>
  </si>
  <si>
    <t>Quimba, Emerson Jr.</t>
  </si>
  <si>
    <t>Rovero, Kriztle L.</t>
  </si>
  <si>
    <t>Sagun, Aster III A.</t>
  </si>
  <si>
    <t>Santos, Aemie Joanna T.</t>
  </si>
  <si>
    <t>Villapando, Ma. Nina P.</t>
  </si>
  <si>
    <t>Yambao, Monamiele F.</t>
  </si>
  <si>
    <t>Abes, Jon Benzi M.</t>
  </si>
  <si>
    <t>Inocencio, Ira Melissa C.</t>
  </si>
  <si>
    <t>Isidro, Irvette L.</t>
  </si>
  <si>
    <t>Marquez, Neil Patrick L.</t>
  </si>
  <si>
    <t>Meneses, Mhetsnarc P.</t>
  </si>
  <si>
    <t>Tagalog, Zybiel Anne L</t>
  </si>
  <si>
    <t>Werble, Fatima Amdam</t>
  </si>
  <si>
    <t>Anier, Windy C.</t>
  </si>
  <si>
    <t>Cochon, Justine Alissandra Carrera</t>
  </si>
  <si>
    <t>Dante, Amiel John C.</t>
  </si>
  <si>
    <t>Escandor, Ryan</t>
  </si>
  <si>
    <t xml:space="preserve">Moosa, Aishath Shanee </t>
  </si>
  <si>
    <t>Rentillo, Sheildz D.</t>
  </si>
  <si>
    <t>Sandel, Rouena C.</t>
  </si>
  <si>
    <t>Valenzuela, Samantha</t>
  </si>
  <si>
    <t>Albano, Lovillie Mae Lacar</t>
  </si>
  <si>
    <t>Arma, Angela, A</t>
  </si>
  <si>
    <t>Artates, Jhan Jhay A</t>
  </si>
  <si>
    <t>Baguio, Leann Joy S.</t>
  </si>
  <si>
    <t>Barayuga, John, Remolacio</t>
  </si>
  <si>
    <t>Bergonia, Rona Marie T</t>
  </si>
  <si>
    <t>Calixterio, Jadelhyn, D</t>
  </si>
  <si>
    <t>Carambas, Clarence B.</t>
  </si>
  <si>
    <t>Castillo, Fitz Gerald P.</t>
  </si>
  <si>
    <t>Castro, Excel B</t>
  </si>
  <si>
    <t>Claro, Lianne Joie V</t>
  </si>
  <si>
    <t>Dumag, Arianne Camille Tabal</t>
  </si>
  <si>
    <t>Faelmoca, Mel Anthony A.</t>
  </si>
  <si>
    <t>Fermin, Judy Ann M.</t>
  </si>
  <si>
    <t>Guzman, Sheryl Ann C.</t>
  </si>
  <si>
    <t>Limmayog, Alexis Cord, Calixto</t>
  </si>
  <si>
    <t>Luis, Venher Angelique L.</t>
  </si>
  <si>
    <t>Macni, Kristel Joy Juan</t>
  </si>
  <si>
    <t>Martin, Justine Paul V.</t>
  </si>
  <si>
    <t>Mateo, Ferdilyn M</t>
  </si>
  <si>
    <t>Natividad, Jeanelle Beatrice Razonable</t>
  </si>
  <si>
    <t>Obispo, Herlorraine Peach, A.</t>
  </si>
  <si>
    <t>Orlino, Rosabel Mikaela, V</t>
  </si>
  <si>
    <t>Ortal, Kim Keith P.</t>
  </si>
  <si>
    <t>Palangdosan, Nephle, M</t>
  </si>
  <si>
    <t>Pamerol, Jean Joy Rose P.</t>
  </si>
  <si>
    <t>Pascua, Christian, D.</t>
  </si>
  <si>
    <t>Pescador, Katrina Camille A.</t>
  </si>
  <si>
    <t>Pizarro, Dan Michael, U.</t>
  </si>
  <si>
    <t>Prudencio, Jennica</t>
  </si>
  <si>
    <t>Ragunjan, Mikaella Clarisse, Rafanan</t>
  </si>
  <si>
    <t>Rebullo, Louise Jesse R</t>
  </si>
  <si>
    <t>Reyno, Steffi Angelika, L</t>
  </si>
  <si>
    <t>Rivera, Shaira Mae M.</t>
  </si>
  <si>
    <t>Rojas, Mary Faye Nicole R.</t>
  </si>
  <si>
    <t>Rosario, Jenelle T.</t>
  </si>
  <si>
    <t>Rotelo, Jim Brian, A.</t>
  </si>
  <si>
    <t>Solomon, Jonnell</t>
  </si>
  <si>
    <t>Tadeja, Nicole Ross, T</t>
  </si>
  <si>
    <t>Tagami, Christian Andrew</t>
  </si>
  <si>
    <t>Tul-ao, Sunshine Joy P.</t>
  </si>
  <si>
    <t>Villacillo, Rey Benedict Acuña</t>
  </si>
  <si>
    <t>Villalobos, Jave Asheville Punzalan</t>
  </si>
  <si>
    <t>Viloria, Venice Nova T</t>
  </si>
  <si>
    <t>Maynes, Trisha Mariel E.</t>
  </si>
  <si>
    <t>Pangan, Jessa Marie B.</t>
  </si>
  <si>
    <t>Castro, Richelie D.</t>
  </si>
  <si>
    <t>Cuaycong, Sean Michael</t>
  </si>
  <si>
    <t>Remy Grace Pasicolan</t>
  </si>
  <si>
    <t>weighted ave post test</t>
  </si>
  <si>
    <t>weighted ave post test 2</t>
  </si>
  <si>
    <t>TOTAL AVERAGE</t>
  </si>
  <si>
    <t>Readiness Summary</t>
  </si>
  <si>
    <t>Outcome</t>
  </si>
  <si>
    <t>Count</t>
  </si>
  <si>
    <t>Description</t>
  </si>
  <si>
    <t>Ready</t>
  </si>
  <si>
    <t>High probability of passing PLE</t>
  </si>
  <si>
    <t>Moderately Ready</t>
  </si>
  <si>
    <t>Needs reinforcement</t>
  </si>
  <si>
    <t>At Risk</t>
  </si>
  <si>
    <t>Requires intervention</t>
  </si>
  <si>
    <t>Readiness Level</t>
  </si>
  <si>
    <t>Range</t>
  </si>
  <si>
    <t>75%-100%</t>
  </si>
  <si>
    <t>50%-74%</t>
  </si>
  <si>
    <t>Below 50%</t>
  </si>
  <si>
    <t xml:space="preserve"> </t>
  </si>
  <si>
    <t>NAME</t>
  </si>
  <si>
    <t>ANATOMY</t>
  </si>
  <si>
    <t>BIOCHEMISTRY</t>
  </si>
  <si>
    <t>PHYSIOLOGY</t>
  </si>
  <si>
    <t>PATHOLOGY</t>
  </si>
  <si>
    <t>MICROBIOLOGY</t>
  </si>
  <si>
    <t>PHARMACOLOGY</t>
  </si>
  <si>
    <t>IM</t>
  </si>
  <si>
    <t>SURGERY</t>
  </si>
  <si>
    <t>PEDIA</t>
  </si>
  <si>
    <t>OBGYN</t>
  </si>
  <si>
    <t>PREV MED</t>
  </si>
  <si>
    <t>LEGAL MED</t>
  </si>
  <si>
    <t>SCHOOL</t>
  </si>
  <si>
    <t>BICMC</t>
  </si>
  <si>
    <t>FUMC/VMC</t>
  </si>
  <si>
    <r>
      <rPr>
        <b/>
        <sz val="10"/>
        <color theme="1"/>
        <rFont val="Arial"/>
        <family val="2"/>
      </rPr>
      <t>FUMC</t>
    </r>
    <r>
      <rPr>
        <sz val="10"/>
        <color theme="1"/>
        <rFont val="Arial"/>
        <family val="2"/>
      </rPr>
      <t>/VMC</t>
    </r>
  </si>
  <si>
    <r>
      <rPr>
        <sz val="10"/>
        <color theme="1"/>
        <rFont val="Arial"/>
        <family val="2"/>
      </rPr>
      <t>FUMC/</t>
    </r>
    <r>
      <rPr>
        <b/>
        <sz val="10"/>
        <color theme="1"/>
        <rFont val="Arial"/>
        <family val="2"/>
      </rPr>
      <t>VMC</t>
    </r>
  </si>
  <si>
    <t>ITRMC</t>
  </si>
  <si>
    <t>LCUP</t>
  </si>
  <si>
    <t>MCU</t>
  </si>
  <si>
    <t>NON MCU</t>
  </si>
  <si>
    <t>NONE MCU</t>
  </si>
  <si>
    <t>MMMHMC</t>
  </si>
  <si>
    <t>VMUF</t>
  </si>
  <si>
    <t>CSU</t>
  </si>
  <si>
    <t>MTC</t>
  </si>
  <si>
    <t>total</t>
  </si>
  <si>
    <t>TOTAL</t>
  </si>
  <si>
    <t>progress eval %</t>
  </si>
  <si>
    <t>Weighted PE Score (20%)</t>
  </si>
  <si>
    <r>
      <rPr>
        <b/>
        <sz val="10"/>
        <color rgb="FF000000"/>
        <rFont val="Arial"/>
        <family val="2"/>
      </rPr>
      <t>FUMC</t>
    </r>
    <r>
      <rPr>
        <sz val="10"/>
        <color rgb="FF000000"/>
        <rFont val="Arial"/>
        <family val="2"/>
      </rPr>
      <t>/VMC</t>
    </r>
  </si>
  <si>
    <t>Diamante, Stephanie Irelann D.</t>
  </si>
  <si>
    <r>
      <rPr>
        <sz val="10"/>
        <color rgb="FF000000"/>
        <rFont val="Arial"/>
        <family val="2"/>
      </rPr>
      <t>FUMC/</t>
    </r>
    <r>
      <rPr>
        <b/>
        <sz val="10"/>
        <color rgb="FF000000"/>
        <rFont val="Arial"/>
        <family val="2"/>
      </rPr>
      <t>VMC</t>
    </r>
  </si>
  <si>
    <t>Espiritu, Katrina C.</t>
  </si>
  <si>
    <t>Lastimosa, Julie Ann B.</t>
  </si>
  <si>
    <t>DIAGNOSTIC %</t>
  </si>
  <si>
    <t xml:space="preserve">WEIGTHED AVERAGE </t>
  </si>
  <si>
    <t>masterclass %</t>
  </si>
  <si>
    <t>weighted ave 10%</t>
  </si>
  <si>
    <t>Lirios, Jeanne</t>
  </si>
  <si>
    <r>
      <rPr>
        <sz val="10"/>
        <color rgb="FF000000"/>
        <rFont val="Arial"/>
        <family val="2"/>
      </rPr>
      <t>FUMC/</t>
    </r>
    <r>
      <rPr>
        <sz val="10"/>
        <color rgb="FF000000"/>
        <rFont val="Arial"/>
        <family val="2"/>
      </rPr>
      <t>VMC</t>
    </r>
  </si>
  <si>
    <t>INDIV</t>
  </si>
  <si>
    <t>Salviejo, Ivy Mae</t>
  </si>
  <si>
    <t>INTERNAL MED</t>
  </si>
  <si>
    <t>OB</t>
  </si>
  <si>
    <t>BUCM ALUMNI</t>
  </si>
  <si>
    <t>Arce, Brigette Manchete</t>
  </si>
  <si>
    <t>Barce, Dennis Alto</t>
  </si>
  <si>
    <t>MIDYEAR</t>
  </si>
  <si>
    <t>Ibarreta, Jesa</t>
  </si>
  <si>
    <t>Ricafort, Bence Cleofe</t>
  </si>
  <si>
    <t>Viray, Kenneth Paulo</t>
  </si>
  <si>
    <t>Wang, Joylenne</t>
  </si>
  <si>
    <t>Abella, Hansi Grace Tugatog</t>
  </si>
  <si>
    <t>OLFU MARCH</t>
  </si>
  <si>
    <t>Joven, Gretelle Macie Francisco</t>
  </si>
  <si>
    <t>Sevilla, Alex Jay III G.</t>
  </si>
  <si>
    <t>Alihuddin Leafe Balotabot</t>
  </si>
  <si>
    <t>BULMC</t>
  </si>
  <si>
    <t>Anier, Windy Cuntapay</t>
  </si>
  <si>
    <t>Rentillo, Shieldz D.</t>
  </si>
  <si>
    <t>Nahial, Samsi Wanli G.</t>
  </si>
  <si>
    <t>Salviejo, Ivy Mae Bulao</t>
  </si>
  <si>
    <t>Abittor, Portia</t>
  </si>
  <si>
    <t>Baltazar, Raymundo</t>
  </si>
  <si>
    <t>Banagyo, Charis Atluna</t>
  </si>
  <si>
    <t>Castro, Diolyses, Jr., O.</t>
  </si>
  <si>
    <t>Elumalai, Roshini</t>
  </si>
  <si>
    <t>Escorpiso, Kiara Mae V.</t>
  </si>
  <si>
    <t xml:space="preserve">Evangelista, Niña Charisse G. </t>
  </si>
  <si>
    <t>Francisco, Mariel Joy L.</t>
  </si>
  <si>
    <t xml:space="preserve">Gazanfar, Khan </t>
  </si>
  <si>
    <t>Isa, Patience</t>
  </si>
  <si>
    <t>Navarro, Nikki L.</t>
  </si>
  <si>
    <t xml:space="preserve">Panangon, Lourdes A. </t>
  </si>
  <si>
    <t>Paronable, Camille Ashley DG.</t>
  </si>
  <si>
    <t>Patayan, Haydee De Guzman</t>
  </si>
  <si>
    <t xml:space="preserve">Pilit, Ahrian Carla M. </t>
  </si>
  <si>
    <t>Puma-at, Amy Grail F</t>
  </si>
  <si>
    <t>Quezada, Charity Mae C.</t>
  </si>
  <si>
    <t>Recel, Raven Chase M.</t>
  </si>
  <si>
    <t>Role, Hannah Aira R.</t>
  </si>
  <si>
    <t>Soriano, Aubrey G.</t>
  </si>
  <si>
    <t>Torio, Kathrina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</si>
</sst>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FF0000"/>
      <name val="Arial"/>
    </font>
    <font>
      <sz val="10"/>
      <color rgb="FFFF0000"/>
      <name val="Calibri"/>
    </font>
    <font>
      <b/>
      <sz val="11"/>
      <color rgb="FFFFFFFF"/>
      <name val="Calibri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0"/>
      <color rgb="FF000000"/>
      <name val="Arial"/>
    </font>
    <font>
      <sz val="10"/>
      <color theme="1"/>
      <name val="Calibri"/>
      <scheme val="minor"/>
    </font>
    <font>
      <sz val="10"/>
      <color rgb="FFFF0000"/>
      <name val="Calibri"/>
      <scheme val="minor"/>
    </font>
    <font>
      <b/>
      <sz val="10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3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wrapText="1"/>
    </xf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Fill="1" applyBorder="1"/>
    <xf numFmtId="0" fontId="3" fillId="0" borderId="6" xfId="0" applyFont="1" applyFill="1" applyBorder="1" applyAlignment="1">
      <alignment vertical="top" wrapText="1"/>
    </xf>
    <xf numFmtId="0" fontId="3" fillId="0" borderId="7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0" fillId="0" borderId="0" xfId="0" applyAlignment="1">
      <alignment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wrapText="1"/>
    </xf>
    <xf numFmtId="2" fontId="3" fillId="4" borderId="1" xfId="0" applyNumberFormat="1" applyFont="1" applyFill="1" applyBorder="1" applyAlignment="1">
      <alignment horizontal="center" wrapText="1"/>
    </xf>
    <xf numFmtId="2" fontId="3" fillId="5" borderId="1" xfId="0" applyNumberFormat="1" applyFont="1" applyFill="1" applyBorder="1" applyAlignment="1">
      <alignment horizontal="center" wrapText="1"/>
    </xf>
    <xf numFmtId="2" fontId="3" fillId="6" borderId="1" xfId="0" applyNumberFormat="1" applyFont="1" applyFill="1" applyBorder="1" applyAlignment="1">
      <alignment horizontal="center" wrapText="1"/>
    </xf>
    <xf numFmtId="2" fontId="3" fillId="7" borderId="1" xfId="0" applyNumberFormat="1" applyFont="1" applyFill="1" applyBorder="1" applyAlignment="1">
      <alignment horizontal="center" wrapText="1"/>
    </xf>
    <xf numFmtId="2" fontId="3" fillId="8" borderId="1" xfId="0" applyNumberFormat="1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2" fontId="5" fillId="4" borderId="1" xfId="0" applyNumberFormat="1" applyFont="1" applyFill="1" applyBorder="1" applyAlignment="1">
      <alignment horizontal="center" wrapText="1"/>
    </xf>
    <xf numFmtId="2" fontId="5" fillId="5" borderId="1" xfId="0" applyNumberFormat="1" applyFont="1" applyFill="1" applyBorder="1" applyAlignment="1">
      <alignment horizontal="center" wrapText="1"/>
    </xf>
    <xf numFmtId="2" fontId="5" fillId="6" borderId="1" xfId="0" applyNumberFormat="1" applyFont="1" applyFill="1" applyBorder="1" applyAlignment="1">
      <alignment horizontal="center" wrapText="1"/>
    </xf>
    <xf numFmtId="2" fontId="5" fillId="7" borderId="1" xfId="0" applyNumberFormat="1" applyFont="1" applyFill="1" applyBorder="1" applyAlignment="1">
      <alignment horizontal="center" wrapText="1"/>
    </xf>
    <xf numFmtId="2" fontId="5" fillId="8" borderId="1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wrapText="1"/>
    </xf>
    <xf numFmtId="0" fontId="5" fillId="2" borderId="1" xfId="0" applyNumberFormat="1" applyFont="1" applyFill="1" applyBorder="1" applyAlignment="1">
      <alignment horizontal="center" wrapText="1"/>
    </xf>
    <xf numFmtId="0" fontId="6" fillId="9" borderId="3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6" fillId="9" borderId="2" xfId="0" applyNumberFormat="1" applyFont="1" applyFill="1" applyBorder="1" applyAlignment="1">
      <alignment horizontal="center" vertical="center" wrapText="1"/>
    </xf>
    <xf numFmtId="0" fontId="8" fillId="10" borderId="7" xfId="0" applyNumberFormat="1" applyFont="1" applyFill="1" applyBorder="1" applyAlignment="1">
      <alignment horizontal="center" vertical="center" wrapText="1"/>
    </xf>
    <xf numFmtId="0" fontId="8" fillId="10" borderId="0" xfId="0" applyNumberFormat="1" applyFont="1" applyFill="1" applyBorder="1" applyAlignment="1">
      <alignment horizontal="center" vertical="center" wrapText="1"/>
    </xf>
    <xf numFmtId="0" fontId="7" fillId="1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vertical="top" wrapText="1"/>
    </xf>
    <xf numFmtId="0" fontId="3" fillId="0" borderId="5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8" fillId="1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0" fontId="10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3" fontId="15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workbookViewId="0">
      <selection activeCell="J10" sqref="J10"/>
    </sheetView>
  </sheetViews>
  <sheetFormatPr defaultRowHeight="15" x14ac:dyDescent="0.25"/>
  <cols>
    <col min="1" max="1" width="8" style="1" customWidth="1"/>
    <col min="2" max="2" width="32" style="5" customWidth="1"/>
    <col min="3" max="3" width="16" style="7" customWidth="1"/>
    <col min="4" max="4" width="16" style="9" customWidth="1"/>
    <col min="5" max="5" width="16" style="11" customWidth="1"/>
    <col min="6" max="6" width="16" style="13" customWidth="1"/>
    <col min="7" max="7" width="16" style="15" customWidth="1"/>
    <col min="8" max="8" width="16" style="17" customWidth="1"/>
    <col min="9" max="9" width="20" style="4" customWidth="1"/>
    <col min="10" max="10" width="17.28515625" style="22" customWidth="1"/>
    <col min="11" max="12" width="25" customWidth="1"/>
    <col min="13" max="13" width="34" customWidth="1"/>
    <col min="14" max="14" width="17.28515625" style="22" customWidth="1"/>
    <col min="15" max="15" width="16.140625" customWidth="1"/>
  </cols>
  <sheetData>
    <row r="1" spans="1:14" ht="36" customHeight="1" x14ac:dyDescent="0.25">
      <c r="A1" s="56" t="s">
        <v>253</v>
      </c>
      <c r="B1" s="57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5" t="s">
        <v>237</v>
      </c>
      <c r="I1" s="56"/>
      <c r="J1" s="18"/>
      <c r="K1" s="56" t="s">
        <v>238</v>
      </c>
      <c r="L1" s="56"/>
      <c r="M1" s="56"/>
      <c r="N1" s="18"/>
    </row>
    <row r="2" spans="1:14" x14ac:dyDescent="0.25">
      <c r="A2" s="49">
        <v>1</v>
      </c>
      <c r="B2" s="50" t="s">
        <v>6</v>
      </c>
      <c r="C2" s="31">
        <v>6.8000000000000007</v>
      </c>
      <c r="D2" s="32">
        <v>3.2</v>
      </c>
      <c r="E2" s="33">
        <v>13.600000000000001</v>
      </c>
      <c r="F2" s="34">
        <v>0.17916666666666667</v>
      </c>
      <c r="G2" s="35">
        <v>3.2</v>
      </c>
      <c r="H2" s="36">
        <f t="shared" ref="H2:H65" si="0">SUM(C2:G2)</f>
        <v>26.979166666666668</v>
      </c>
      <c r="I2" s="51"/>
      <c r="J2" s="19"/>
      <c r="K2" s="60" t="s">
        <v>239</v>
      </c>
      <c r="L2" s="60" t="s">
        <v>240</v>
      </c>
      <c r="M2" s="60" t="s">
        <v>241</v>
      </c>
      <c r="N2" s="19"/>
    </row>
    <row r="3" spans="1:14" x14ac:dyDescent="0.25">
      <c r="A3" s="49">
        <v>2</v>
      </c>
      <c r="B3" s="50" t="s">
        <v>7</v>
      </c>
      <c r="C3" s="37">
        <v>4.4666666666666668</v>
      </c>
      <c r="D3" s="38">
        <v>0</v>
      </c>
      <c r="E3" s="39">
        <v>8.9333333333333336</v>
      </c>
      <c r="F3" s="40">
        <v>7.0833333333333345E-2</v>
      </c>
      <c r="G3" s="41">
        <v>0</v>
      </c>
      <c r="H3" s="42">
        <f t="shared" si="0"/>
        <v>13.470833333333333</v>
      </c>
      <c r="I3" s="52"/>
      <c r="J3" s="20"/>
      <c r="K3" s="61" t="s">
        <v>242</v>
      </c>
      <c r="L3" s="62">
        <f>COUNTIF($I$2:$I$230,K3)</f>
        <v>0</v>
      </c>
      <c r="M3" s="63" t="s">
        <v>243</v>
      </c>
      <c r="N3" s="23"/>
    </row>
    <row r="4" spans="1:14" x14ac:dyDescent="0.25">
      <c r="A4" s="49">
        <v>3</v>
      </c>
      <c r="B4" s="50" t="s">
        <v>8</v>
      </c>
      <c r="C4" s="37">
        <v>9.2000000000000011</v>
      </c>
      <c r="D4" s="38">
        <v>10.1</v>
      </c>
      <c r="E4" s="39">
        <v>18.400000000000002</v>
      </c>
      <c r="F4" s="40">
        <v>0.25972222222222224</v>
      </c>
      <c r="G4" s="41">
        <v>10.100000000000001</v>
      </c>
      <c r="H4" s="42">
        <f t="shared" si="0"/>
        <v>48.059722222222227</v>
      </c>
      <c r="I4" s="52"/>
      <c r="J4" s="20"/>
      <c r="K4" s="61" t="s">
        <v>244</v>
      </c>
      <c r="L4" s="64">
        <f>COUNTIF($I$2:$I$230,K4)</f>
        <v>0</v>
      </c>
      <c r="M4" s="65" t="s">
        <v>245</v>
      </c>
      <c r="N4" s="26"/>
    </row>
    <row r="5" spans="1:14" x14ac:dyDescent="0.25">
      <c r="A5" s="49">
        <v>4</v>
      </c>
      <c r="B5" s="50" t="s">
        <v>9</v>
      </c>
      <c r="C5" s="37">
        <v>7.1000000000000005</v>
      </c>
      <c r="D5" s="38">
        <v>9.5</v>
      </c>
      <c r="E5" s="39">
        <v>14.200000000000001</v>
      </c>
      <c r="F5" s="40">
        <v>0.25277777777777777</v>
      </c>
      <c r="G5" s="41">
        <v>9.5</v>
      </c>
      <c r="H5" s="42">
        <f t="shared" si="0"/>
        <v>40.552777777777777</v>
      </c>
      <c r="I5" s="52"/>
      <c r="J5" s="20"/>
      <c r="K5" s="61" t="s">
        <v>246</v>
      </c>
      <c r="L5" s="64">
        <f>COUNTIF($I$2:$I$230,K5)</f>
        <v>0</v>
      </c>
      <c r="M5" s="65" t="s">
        <v>247</v>
      </c>
      <c r="N5" s="26"/>
    </row>
    <row r="6" spans="1:14" x14ac:dyDescent="0.25">
      <c r="A6" s="49">
        <v>5</v>
      </c>
      <c r="B6" s="50" t="s">
        <v>10</v>
      </c>
      <c r="C6" s="37">
        <v>3.1</v>
      </c>
      <c r="D6" s="38">
        <v>0</v>
      </c>
      <c r="E6" s="39">
        <v>6.2</v>
      </c>
      <c r="F6" s="40">
        <v>1.9444444444444445E-2</v>
      </c>
      <c r="G6" s="41">
        <v>0</v>
      </c>
      <c r="H6" s="42">
        <f t="shared" si="0"/>
        <v>9.3194444444444446</v>
      </c>
      <c r="I6" s="52"/>
      <c r="J6" s="20"/>
      <c r="K6" s="61"/>
      <c r="L6" s="64"/>
      <c r="M6" s="65"/>
      <c r="N6" s="26"/>
    </row>
    <row r="7" spans="1:14" x14ac:dyDescent="0.25">
      <c r="A7" s="49">
        <v>6</v>
      </c>
      <c r="B7" s="50" t="s">
        <v>11</v>
      </c>
      <c r="C7" s="37">
        <v>5.666666666666667</v>
      </c>
      <c r="D7" s="38">
        <v>0</v>
      </c>
      <c r="E7" s="39">
        <v>11.333333333333334</v>
      </c>
      <c r="F7" s="40">
        <v>9.027777777777779E-2</v>
      </c>
      <c r="G7" s="41">
        <v>0</v>
      </c>
      <c r="H7" s="42">
        <f t="shared" si="0"/>
        <v>17.090277777777779</v>
      </c>
      <c r="I7" s="52"/>
      <c r="J7" s="20"/>
      <c r="K7" s="66" t="s">
        <v>248</v>
      </c>
      <c r="L7" s="58" t="s">
        <v>249</v>
      </c>
      <c r="M7" s="59" t="s">
        <v>241</v>
      </c>
      <c r="N7" s="26"/>
    </row>
    <row r="8" spans="1:14" x14ac:dyDescent="0.25">
      <c r="A8" s="49">
        <v>7</v>
      </c>
      <c r="B8" s="50" t="s">
        <v>12</v>
      </c>
      <c r="C8" s="37">
        <v>8.8666666666666671</v>
      </c>
      <c r="D8" s="38">
        <v>2.5666666666666664</v>
      </c>
      <c r="E8" s="39">
        <v>17.733333333333334</v>
      </c>
      <c r="F8" s="40">
        <v>9.5833333333333354E-2</v>
      </c>
      <c r="G8" s="41">
        <v>2.5666666666666664</v>
      </c>
      <c r="H8" s="42">
        <f t="shared" si="0"/>
        <v>31.829166666666669</v>
      </c>
      <c r="I8" s="52"/>
      <c r="J8" s="20"/>
      <c r="K8" s="61" t="s">
        <v>242</v>
      </c>
      <c r="L8" s="64" t="s">
        <v>250</v>
      </c>
      <c r="M8" s="65" t="s">
        <v>243</v>
      </c>
      <c r="N8" s="26"/>
    </row>
    <row r="9" spans="1:14" x14ac:dyDescent="0.25">
      <c r="A9" s="49">
        <v>8</v>
      </c>
      <c r="B9" s="50" t="s">
        <v>13</v>
      </c>
      <c r="C9" s="37">
        <v>0.4</v>
      </c>
      <c r="D9" s="38">
        <v>0</v>
      </c>
      <c r="E9" s="39">
        <v>0.8</v>
      </c>
      <c r="F9" s="40">
        <v>0.16250000000000001</v>
      </c>
      <c r="G9" s="41">
        <v>0</v>
      </c>
      <c r="H9" s="42">
        <f t="shared" si="0"/>
        <v>1.3625000000000003</v>
      </c>
      <c r="I9" s="52"/>
      <c r="J9" s="20"/>
      <c r="K9" s="61" t="s">
        <v>244</v>
      </c>
      <c r="L9" s="64" t="s">
        <v>251</v>
      </c>
      <c r="M9" s="65" t="s">
        <v>245</v>
      </c>
      <c r="N9" s="26"/>
    </row>
    <row r="10" spans="1:14" x14ac:dyDescent="0.25">
      <c r="A10" s="49">
        <v>9</v>
      </c>
      <c r="B10" s="50" t="s">
        <v>14</v>
      </c>
      <c r="C10" s="37">
        <v>9.4666666666666668</v>
      </c>
      <c r="D10" s="38">
        <v>15.033333333333335</v>
      </c>
      <c r="E10" s="39">
        <v>18.933333333333334</v>
      </c>
      <c r="F10" s="40">
        <v>0.4</v>
      </c>
      <c r="G10" s="41">
        <v>15.033333333333335</v>
      </c>
      <c r="H10" s="42">
        <f t="shared" si="0"/>
        <v>58.866666666666674</v>
      </c>
      <c r="I10" s="52"/>
      <c r="J10" s="20"/>
      <c r="K10" s="61" t="s">
        <v>246</v>
      </c>
      <c r="L10" s="64" t="s">
        <v>252</v>
      </c>
      <c r="M10" s="65" t="s">
        <v>247</v>
      </c>
      <c r="N10" s="26"/>
    </row>
    <row r="11" spans="1:14" x14ac:dyDescent="0.25">
      <c r="A11" s="49">
        <v>10</v>
      </c>
      <c r="B11" s="50" t="s">
        <v>15</v>
      </c>
      <c r="C11" s="37">
        <v>3.8333333333333339</v>
      </c>
      <c r="D11" s="38">
        <v>0</v>
      </c>
      <c r="E11" s="39">
        <v>7.6666666666666679</v>
      </c>
      <c r="F11" s="40">
        <v>8.6111111111111124E-2</v>
      </c>
      <c r="G11" s="41">
        <v>0</v>
      </c>
      <c r="H11" s="42">
        <f t="shared" si="0"/>
        <v>11.586111111111112</v>
      </c>
      <c r="I11" s="52"/>
      <c r="J11" s="20"/>
      <c r="K11" s="20"/>
      <c r="L11" s="24"/>
      <c r="M11" s="25"/>
      <c r="N11" s="26"/>
    </row>
    <row r="12" spans="1:14" x14ac:dyDescent="0.25">
      <c r="A12" s="49">
        <v>11</v>
      </c>
      <c r="B12" s="50" t="s">
        <v>16</v>
      </c>
      <c r="C12" s="37">
        <v>0</v>
      </c>
      <c r="D12" s="38">
        <v>0</v>
      </c>
      <c r="E12" s="39">
        <v>0</v>
      </c>
      <c r="F12" s="40">
        <v>0</v>
      </c>
      <c r="G12" s="41">
        <v>0</v>
      </c>
      <c r="H12" s="42">
        <f t="shared" si="0"/>
        <v>0</v>
      </c>
      <c r="I12" s="52"/>
      <c r="J12" s="20"/>
      <c r="K12" s="20"/>
      <c r="L12" s="24"/>
      <c r="M12" s="25"/>
      <c r="N12" s="26"/>
    </row>
    <row r="13" spans="1:14" x14ac:dyDescent="0.25">
      <c r="A13" s="49">
        <v>12</v>
      </c>
      <c r="B13" s="50" t="s">
        <v>17</v>
      </c>
      <c r="C13" s="37">
        <v>4.0666666666666664</v>
      </c>
      <c r="D13" s="38">
        <v>3.9333333333333331</v>
      </c>
      <c r="E13" s="39">
        <v>8.1333333333333329</v>
      </c>
      <c r="F13" s="40">
        <v>7.6388888888888895E-2</v>
      </c>
      <c r="G13" s="41">
        <v>3.9333333333333331</v>
      </c>
      <c r="H13" s="42">
        <f t="shared" si="0"/>
        <v>20.143055555555556</v>
      </c>
      <c r="I13" s="52"/>
      <c r="J13" s="20"/>
      <c r="K13" s="20"/>
      <c r="L13" s="24"/>
      <c r="M13" s="25"/>
      <c r="N13" s="26"/>
    </row>
    <row r="14" spans="1:14" x14ac:dyDescent="0.25">
      <c r="A14" s="49">
        <v>13</v>
      </c>
      <c r="B14" s="50" t="s">
        <v>18</v>
      </c>
      <c r="C14" s="37">
        <v>9.7000000000000011</v>
      </c>
      <c r="D14" s="38">
        <v>10.900000000000002</v>
      </c>
      <c r="E14" s="39">
        <v>19.400000000000002</v>
      </c>
      <c r="F14" s="40">
        <v>0.49444444444444446</v>
      </c>
      <c r="G14" s="41">
        <v>10.900000000000002</v>
      </c>
      <c r="H14" s="42">
        <f t="shared" si="0"/>
        <v>51.394444444444446</v>
      </c>
      <c r="I14" s="52"/>
      <c r="J14" s="20"/>
      <c r="K14" s="20"/>
      <c r="L14" s="27"/>
      <c r="M14" s="28"/>
      <c r="N14" s="29"/>
    </row>
    <row r="15" spans="1:14" x14ac:dyDescent="0.25">
      <c r="A15" s="49">
        <v>14</v>
      </c>
      <c r="B15" s="50" t="s">
        <v>19</v>
      </c>
      <c r="C15" s="37">
        <v>5</v>
      </c>
      <c r="D15" s="38">
        <v>0.66666666666666674</v>
      </c>
      <c r="E15" s="39">
        <v>10</v>
      </c>
      <c r="F15" s="40">
        <v>0.17222222222222228</v>
      </c>
      <c r="G15" s="41">
        <v>0.66666666666666674</v>
      </c>
      <c r="H15" s="42">
        <f t="shared" si="0"/>
        <v>16.505555555555556</v>
      </c>
      <c r="I15" s="52"/>
      <c r="J15" s="20"/>
      <c r="K15" s="20"/>
      <c r="L15" s="20"/>
      <c r="M15" s="20"/>
      <c r="N15" s="20"/>
    </row>
    <row r="16" spans="1:14" x14ac:dyDescent="0.25">
      <c r="A16" s="49">
        <v>15</v>
      </c>
      <c r="B16" s="50" t="s">
        <v>20</v>
      </c>
      <c r="C16" s="37">
        <v>9.1</v>
      </c>
      <c r="D16" s="38">
        <v>6.5666666666666664</v>
      </c>
      <c r="E16" s="39">
        <v>18.2</v>
      </c>
      <c r="F16" s="40">
        <v>0.1652777777777778</v>
      </c>
      <c r="G16" s="41">
        <v>6.5666666666666664</v>
      </c>
      <c r="H16" s="42">
        <f t="shared" si="0"/>
        <v>40.598611111111111</v>
      </c>
      <c r="I16" s="52"/>
      <c r="J16" s="20"/>
      <c r="K16" s="20"/>
      <c r="L16" s="20"/>
      <c r="M16" s="20"/>
      <c r="N16" s="20"/>
    </row>
    <row r="17" spans="1:14" x14ac:dyDescent="0.25">
      <c r="A17" s="49">
        <v>16</v>
      </c>
      <c r="B17" s="50" t="s">
        <v>21</v>
      </c>
      <c r="C17" s="37">
        <v>6.5</v>
      </c>
      <c r="D17" s="38">
        <v>3.9666666666666668</v>
      </c>
      <c r="E17" s="39">
        <v>13</v>
      </c>
      <c r="F17" s="40">
        <v>6.666666666666668E-2</v>
      </c>
      <c r="G17" s="41">
        <v>3.9666666666666668</v>
      </c>
      <c r="H17" s="42">
        <f t="shared" si="0"/>
        <v>27.5</v>
      </c>
      <c r="I17" s="52"/>
      <c r="J17" s="20"/>
      <c r="K17" s="20"/>
      <c r="L17" s="20"/>
      <c r="M17" s="20"/>
      <c r="N17" s="20"/>
    </row>
    <row r="18" spans="1:14" x14ac:dyDescent="0.25">
      <c r="A18" s="49">
        <v>17</v>
      </c>
      <c r="B18" s="50" t="s">
        <v>22</v>
      </c>
      <c r="C18" s="37">
        <v>7.6333333333333329</v>
      </c>
      <c r="D18" s="38">
        <v>0</v>
      </c>
      <c r="E18" s="39">
        <v>15.266666666666666</v>
      </c>
      <c r="F18" s="40">
        <v>0.30555555555555558</v>
      </c>
      <c r="G18" s="41">
        <v>0</v>
      </c>
      <c r="H18" s="42">
        <f t="shared" si="0"/>
        <v>23.205555555555556</v>
      </c>
      <c r="I18" s="52"/>
      <c r="J18" s="20"/>
      <c r="K18" s="20"/>
      <c r="L18" s="20"/>
      <c r="M18" s="20"/>
      <c r="N18" s="20"/>
    </row>
    <row r="19" spans="1:14" x14ac:dyDescent="0.25">
      <c r="A19" s="49">
        <v>18</v>
      </c>
      <c r="B19" s="50" t="s">
        <v>23</v>
      </c>
      <c r="C19" s="37">
        <v>14.3</v>
      </c>
      <c r="D19" s="38">
        <v>17.166666666666668</v>
      </c>
      <c r="E19" s="39">
        <v>28.6</v>
      </c>
      <c r="F19" s="40">
        <v>0.78333333333333344</v>
      </c>
      <c r="G19" s="41">
        <v>17.166666666666668</v>
      </c>
      <c r="H19" s="42">
        <f t="shared" si="0"/>
        <v>78.016666666666666</v>
      </c>
      <c r="I19" s="52"/>
      <c r="J19" s="20"/>
      <c r="K19" s="20"/>
      <c r="L19" s="20"/>
      <c r="M19" s="20"/>
      <c r="N19" s="20"/>
    </row>
    <row r="20" spans="1:14" x14ac:dyDescent="0.25">
      <c r="A20" s="49">
        <v>19</v>
      </c>
      <c r="B20" s="50" t="s">
        <v>24</v>
      </c>
      <c r="C20" s="37">
        <v>6.1000000000000005</v>
      </c>
      <c r="D20" s="38">
        <v>5.4666666666666668</v>
      </c>
      <c r="E20" s="39">
        <v>12.200000000000001</v>
      </c>
      <c r="F20" s="40">
        <v>0.2819444444444445</v>
      </c>
      <c r="G20" s="41">
        <v>5.4666666666666668</v>
      </c>
      <c r="H20" s="42">
        <f t="shared" si="0"/>
        <v>29.515277777777776</v>
      </c>
      <c r="I20" s="52"/>
      <c r="J20" s="20"/>
      <c r="K20" s="20"/>
      <c r="L20" s="20"/>
      <c r="M20" s="20"/>
      <c r="N20" s="20"/>
    </row>
    <row r="21" spans="1:14" x14ac:dyDescent="0.25">
      <c r="A21" s="49">
        <v>20</v>
      </c>
      <c r="B21" s="50" t="s">
        <v>25</v>
      </c>
      <c r="C21" s="37">
        <v>16.733333333333334</v>
      </c>
      <c r="D21" s="38">
        <v>0</v>
      </c>
      <c r="E21" s="39">
        <v>33.466666666666669</v>
      </c>
      <c r="F21" s="40">
        <v>0.34583333333333338</v>
      </c>
      <c r="G21" s="41">
        <v>0</v>
      </c>
      <c r="H21" s="42">
        <f t="shared" si="0"/>
        <v>50.545833333333334</v>
      </c>
      <c r="I21" s="52"/>
      <c r="J21" s="20"/>
      <c r="K21" s="20"/>
      <c r="L21" s="20"/>
      <c r="M21" s="20"/>
      <c r="N21" s="20"/>
    </row>
    <row r="22" spans="1:14" ht="26.25" x14ac:dyDescent="0.25">
      <c r="A22" s="49">
        <v>21</v>
      </c>
      <c r="B22" s="50" t="s">
        <v>26</v>
      </c>
      <c r="C22" s="37">
        <v>10.3</v>
      </c>
      <c r="D22" s="38">
        <v>6.7</v>
      </c>
      <c r="E22" s="39">
        <v>20.6</v>
      </c>
      <c r="F22" s="40">
        <v>0.45138888888888895</v>
      </c>
      <c r="G22" s="41">
        <v>6.7</v>
      </c>
      <c r="H22" s="42">
        <f t="shared" si="0"/>
        <v>44.75138888888889</v>
      </c>
      <c r="I22" s="52"/>
      <c r="J22" s="20"/>
      <c r="K22" s="20"/>
      <c r="L22" s="20"/>
      <c r="M22" s="20"/>
      <c r="N22" s="20"/>
    </row>
    <row r="23" spans="1:14" x14ac:dyDescent="0.25">
      <c r="A23" s="49">
        <v>22</v>
      </c>
      <c r="B23" s="50" t="s">
        <v>27</v>
      </c>
      <c r="C23" s="37">
        <v>4.6000000000000005</v>
      </c>
      <c r="D23" s="38">
        <v>0</v>
      </c>
      <c r="E23" s="39">
        <v>9.2000000000000011</v>
      </c>
      <c r="F23" s="40">
        <v>7.5000000000000011E-2</v>
      </c>
      <c r="G23" s="41">
        <v>0</v>
      </c>
      <c r="H23" s="42">
        <f t="shared" si="0"/>
        <v>13.875</v>
      </c>
      <c r="I23" s="52"/>
      <c r="J23" s="20"/>
      <c r="K23" s="20"/>
      <c r="L23" s="20"/>
      <c r="M23" s="20"/>
      <c r="N23" s="20"/>
    </row>
    <row r="24" spans="1:14" x14ac:dyDescent="0.25">
      <c r="A24" s="49">
        <v>23</v>
      </c>
      <c r="B24" s="50" t="s">
        <v>28</v>
      </c>
      <c r="C24" s="37">
        <v>1.6666666666666665</v>
      </c>
      <c r="D24" s="38">
        <v>0</v>
      </c>
      <c r="E24" s="39">
        <v>3.333333333333333</v>
      </c>
      <c r="F24" s="40">
        <v>0</v>
      </c>
      <c r="G24" s="41">
        <v>0</v>
      </c>
      <c r="H24" s="42">
        <f t="shared" si="0"/>
        <v>5</v>
      </c>
      <c r="I24" s="52"/>
      <c r="J24" s="20"/>
      <c r="K24" s="20"/>
      <c r="L24" s="20"/>
      <c r="M24" s="20"/>
      <c r="N24" s="20"/>
    </row>
    <row r="25" spans="1:14" x14ac:dyDescent="0.25">
      <c r="A25" s="49">
        <v>24</v>
      </c>
      <c r="B25" s="50" t="s">
        <v>29</v>
      </c>
      <c r="C25" s="37">
        <v>7.1333333333333346</v>
      </c>
      <c r="D25" s="38">
        <v>11.333333333333334</v>
      </c>
      <c r="E25" s="39">
        <v>14.266666666666669</v>
      </c>
      <c r="F25" s="40">
        <v>0.32222222222222224</v>
      </c>
      <c r="G25" s="41">
        <v>11.333333333333334</v>
      </c>
      <c r="H25" s="42">
        <f t="shared" si="0"/>
        <v>44.388888888888893</v>
      </c>
      <c r="I25" s="52"/>
      <c r="J25" s="20"/>
      <c r="K25" s="20"/>
      <c r="L25" s="20"/>
      <c r="M25" s="20"/>
      <c r="N25" s="20"/>
    </row>
    <row r="26" spans="1:14" x14ac:dyDescent="0.25">
      <c r="A26" s="49">
        <v>25</v>
      </c>
      <c r="B26" s="50" t="s">
        <v>30</v>
      </c>
      <c r="C26" s="37">
        <v>0</v>
      </c>
      <c r="D26" s="38">
        <v>0</v>
      </c>
      <c r="E26" s="39">
        <v>0</v>
      </c>
      <c r="F26" s="40">
        <v>0</v>
      </c>
      <c r="G26" s="41">
        <v>0</v>
      </c>
      <c r="H26" s="42">
        <f t="shared" si="0"/>
        <v>0</v>
      </c>
      <c r="I26" s="52"/>
      <c r="J26" s="20"/>
      <c r="K26" s="20"/>
      <c r="L26" s="20"/>
      <c r="M26" s="20"/>
      <c r="N26" s="20"/>
    </row>
    <row r="27" spans="1:14" x14ac:dyDescent="0.25">
      <c r="A27" s="49">
        <v>26</v>
      </c>
      <c r="B27" s="50" t="s">
        <v>31</v>
      </c>
      <c r="C27" s="37">
        <v>11.700000000000001</v>
      </c>
      <c r="D27" s="38">
        <v>10.133333333333335</v>
      </c>
      <c r="E27" s="39">
        <v>23.400000000000002</v>
      </c>
      <c r="F27" s="40">
        <v>0.44722222222222224</v>
      </c>
      <c r="G27" s="41">
        <v>10.133333333333335</v>
      </c>
      <c r="H27" s="42">
        <f t="shared" si="0"/>
        <v>55.81388888888889</v>
      </c>
      <c r="I27" s="52"/>
      <c r="J27" s="20"/>
      <c r="K27" s="20"/>
      <c r="L27" s="20"/>
      <c r="M27" s="20"/>
      <c r="N27" s="20"/>
    </row>
    <row r="28" spans="1:14" x14ac:dyDescent="0.25">
      <c r="A28" s="49">
        <v>27</v>
      </c>
      <c r="B28" s="50" t="s">
        <v>32</v>
      </c>
      <c r="C28" s="37">
        <v>13.366666666666667</v>
      </c>
      <c r="D28" s="38">
        <v>16.633333333333336</v>
      </c>
      <c r="E28" s="39">
        <v>26.733333333333334</v>
      </c>
      <c r="F28" s="40">
        <v>0.49444444444444446</v>
      </c>
      <c r="G28" s="41">
        <v>16.633333333333336</v>
      </c>
      <c r="H28" s="42">
        <f t="shared" si="0"/>
        <v>73.861111111111114</v>
      </c>
      <c r="I28" s="52"/>
      <c r="J28" s="20"/>
      <c r="K28" s="20"/>
      <c r="L28" s="20"/>
      <c r="M28" s="20"/>
      <c r="N28" s="20"/>
    </row>
    <row r="29" spans="1:14" x14ac:dyDescent="0.25">
      <c r="A29" s="49">
        <v>28</v>
      </c>
      <c r="B29" s="50" t="s">
        <v>33</v>
      </c>
      <c r="C29" s="37">
        <v>0</v>
      </c>
      <c r="D29" s="38">
        <v>0</v>
      </c>
      <c r="E29" s="39">
        <v>0</v>
      </c>
      <c r="F29" s="40">
        <v>0</v>
      </c>
      <c r="G29" s="41">
        <v>0</v>
      </c>
      <c r="H29" s="42">
        <f t="shared" si="0"/>
        <v>0</v>
      </c>
      <c r="I29" s="52"/>
      <c r="J29" s="20"/>
      <c r="K29" s="20"/>
      <c r="L29" s="20"/>
      <c r="M29" s="20"/>
      <c r="N29" s="20"/>
    </row>
    <row r="30" spans="1:14" x14ac:dyDescent="0.25">
      <c r="A30" s="49">
        <v>29</v>
      </c>
      <c r="B30" s="53" t="s">
        <v>34</v>
      </c>
      <c r="C30" s="37">
        <v>2.5</v>
      </c>
      <c r="D30" s="38">
        <v>0</v>
      </c>
      <c r="E30" s="39">
        <v>5</v>
      </c>
      <c r="F30" s="40">
        <v>4.7222222222222228E-2</v>
      </c>
      <c r="G30" s="41">
        <v>0</v>
      </c>
      <c r="H30" s="42">
        <f t="shared" si="0"/>
        <v>7.5472222222222225</v>
      </c>
      <c r="I30" s="52"/>
      <c r="J30" s="20"/>
      <c r="K30" s="20"/>
      <c r="L30" s="20"/>
      <c r="M30" s="20"/>
      <c r="N30" s="20"/>
    </row>
    <row r="31" spans="1:14" x14ac:dyDescent="0.25">
      <c r="A31" s="49">
        <v>30</v>
      </c>
      <c r="B31" s="50" t="s">
        <v>35</v>
      </c>
      <c r="C31" s="43">
        <v>0</v>
      </c>
      <c r="D31" s="44">
        <v>0</v>
      </c>
      <c r="E31" s="45">
        <v>0</v>
      </c>
      <c r="F31" s="46">
        <v>1.8055555555555557E-2</v>
      </c>
      <c r="G31" s="47">
        <v>0</v>
      </c>
      <c r="H31" s="48">
        <f t="shared" si="0"/>
        <v>1.8055555555555557E-2</v>
      </c>
      <c r="I31" s="54"/>
      <c r="J31" s="21"/>
      <c r="K31" s="21"/>
      <c r="L31" s="21"/>
      <c r="M31" s="21"/>
      <c r="N31" s="21"/>
    </row>
    <row r="32" spans="1:14" x14ac:dyDescent="0.25">
      <c r="A32" s="49">
        <v>31</v>
      </c>
      <c r="B32" s="50" t="s">
        <v>36</v>
      </c>
      <c r="C32" s="37">
        <v>0</v>
      </c>
      <c r="D32" s="38">
        <v>0</v>
      </c>
      <c r="E32" s="39">
        <v>0</v>
      </c>
      <c r="F32" s="40">
        <v>0</v>
      </c>
      <c r="G32" s="41">
        <v>0</v>
      </c>
      <c r="H32" s="42">
        <f t="shared" si="0"/>
        <v>0</v>
      </c>
      <c r="I32" s="52"/>
      <c r="J32" s="20"/>
      <c r="K32" s="20"/>
      <c r="L32" s="20"/>
      <c r="M32" s="20"/>
      <c r="N32" s="20"/>
    </row>
    <row r="33" spans="1:14" x14ac:dyDescent="0.25">
      <c r="A33" s="49">
        <v>32</v>
      </c>
      <c r="B33" s="50" t="s">
        <v>37</v>
      </c>
      <c r="C33" s="37">
        <v>8.2333333333333343</v>
      </c>
      <c r="D33" s="38">
        <v>2.1333333333333337</v>
      </c>
      <c r="E33" s="39">
        <v>16.466666666666669</v>
      </c>
      <c r="F33" s="40">
        <v>0.25416666666666665</v>
      </c>
      <c r="G33" s="41">
        <v>2.1333333333333337</v>
      </c>
      <c r="H33" s="42">
        <f t="shared" si="0"/>
        <v>29.220833333333335</v>
      </c>
      <c r="I33" s="52"/>
      <c r="J33" s="20"/>
      <c r="K33" s="20"/>
      <c r="L33" s="20"/>
      <c r="M33" s="20"/>
      <c r="N33" s="20"/>
    </row>
    <row r="34" spans="1:14" x14ac:dyDescent="0.25">
      <c r="A34" s="49">
        <v>33</v>
      </c>
      <c r="B34" s="50" t="s">
        <v>38</v>
      </c>
      <c r="C34" s="37">
        <v>0</v>
      </c>
      <c r="D34" s="38">
        <v>0</v>
      </c>
      <c r="E34" s="39">
        <v>0</v>
      </c>
      <c r="F34" s="40">
        <v>0</v>
      </c>
      <c r="G34" s="41">
        <v>0</v>
      </c>
      <c r="H34" s="42">
        <f t="shared" si="0"/>
        <v>0</v>
      </c>
      <c r="I34" s="52"/>
      <c r="J34" s="20"/>
      <c r="K34" s="20"/>
      <c r="L34" s="20"/>
      <c r="M34" s="20"/>
      <c r="N34" s="20"/>
    </row>
    <row r="35" spans="1:14" x14ac:dyDescent="0.25">
      <c r="A35" s="49">
        <v>34</v>
      </c>
      <c r="B35" s="50" t="s">
        <v>39</v>
      </c>
      <c r="C35" s="37">
        <v>4.6000000000000005</v>
      </c>
      <c r="D35" s="38">
        <v>0</v>
      </c>
      <c r="E35" s="39">
        <v>9.2000000000000011</v>
      </c>
      <c r="F35" s="40">
        <v>0.19305555555555559</v>
      </c>
      <c r="G35" s="41">
        <v>0</v>
      </c>
      <c r="H35" s="42">
        <f t="shared" si="0"/>
        <v>13.993055555555557</v>
      </c>
      <c r="I35" s="52"/>
      <c r="J35" s="20"/>
      <c r="K35" s="20"/>
      <c r="L35" s="20"/>
      <c r="M35" s="20"/>
      <c r="N35" s="20"/>
    </row>
    <row r="36" spans="1:14" x14ac:dyDescent="0.25">
      <c r="A36" s="49">
        <v>35</v>
      </c>
      <c r="B36" s="50" t="s">
        <v>40</v>
      </c>
      <c r="C36" s="37">
        <v>0</v>
      </c>
      <c r="D36" s="38">
        <v>0</v>
      </c>
      <c r="E36" s="39">
        <v>0</v>
      </c>
      <c r="F36" s="40">
        <v>2.5000000000000001E-2</v>
      </c>
      <c r="G36" s="41">
        <v>0</v>
      </c>
      <c r="H36" s="42">
        <f t="shared" si="0"/>
        <v>2.5000000000000001E-2</v>
      </c>
      <c r="I36" s="52"/>
      <c r="J36" s="20"/>
      <c r="K36" s="20"/>
      <c r="L36" s="20"/>
      <c r="M36" s="20"/>
      <c r="N36" s="20"/>
    </row>
    <row r="37" spans="1:14" x14ac:dyDescent="0.25">
      <c r="A37" s="49">
        <v>36</v>
      </c>
      <c r="B37" s="53" t="s">
        <v>41</v>
      </c>
      <c r="C37" s="37">
        <v>6.9333333333333345</v>
      </c>
      <c r="D37" s="38">
        <v>0</v>
      </c>
      <c r="E37" s="39">
        <v>13.866666666666669</v>
      </c>
      <c r="F37" s="40">
        <v>2.3611111111111114E-2</v>
      </c>
      <c r="G37" s="41">
        <v>0</v>
      </c>
      <c r="H37" s="42">
        <f t="shared" si="0"/>
        <v>20.823611111111116</v>
      </c>
      <c r="I37" s="52"/>
      <c r="J37" s="20"/>
      <c r="K37" s="20"/>
      <c r="L37" s="20"/>
      <c r="M37" s="20"/>
      <c r="N37" s="20"/>
    </row>
    <row r="38" spans="1:14" x14ac:dyDescent="0.25">
      <c r="A38" s="49">
        <v>37</v>
      </c>
      <c r="B38" s="50" t="s">
        <v>42</v>
      </c>
      <c r="C38" s="43">
        <v>0</v>
      </c>
      <c r="D38" s="44">
        <v>0</v>
      </c>
      <c r="E38" s="45">
        <v>0</v>
      </c>
      <c r="F38" s="46">
        <v>0</v>
      </c>
      <c r="G38" s="47">
        <v>0</v>
      </c>
      <c r="H38" s="48">
        <f t="shared" si="0"/>
        <v>0</v>
      </c>
      <c r="I38" s="54"/>
      <c r="J38" s="21"/>
      <c r="K38" s="21"/>
      <c r="L38" s="21"/>
      <c r="M38" s="21"/>
      <c r="N38" s="21"/>
    </row>
    <row r="39" spans="1:14" x14ac:dyDescent="0.25">
      <c r="A39" s="49">
        <v>38</v>
      </c>
      <c r="B39" s="50" t="s">
        <v>43</v>
      </c>
      <c r="C39" s="37">
        <v>6.6333333333333329</v>
      </c>
      <c r="D39" s="38">
        <v>2.5333333333333337</v>
      </c>
      <c r="E39" s="39">
        <v>13.266666666666666</v>
      </c>
      <c r="F39" s="40">
        <v>0.18472222222222223</v>
      </c>
      <c r="G39" s="41">
        <v>2.5333333333333337</v>
      </c>
      <c r="H39" s="42">
        <f t="shared" si="0"/>
        <v>25.151388888888889</v>
      </c>
      <c r="I39" s="52"/>
      <c r="J39" s="20"/>
      <c r="K39" s="20"/>
      <c r="L39" s="20"/>
      <c r="M39" s="20"/>
      <c r="N39" s="20"/>
    </row>
    <row r="40" spans="1:14" x14ac:dyDescent="0.25">
      <c r="A40" s="49">
        <v>39</v>
      </c>
      <c r="B40" s="50" t="s">
        <v>44</v>
      </c>
      <c r="C40" s="37">
        <v>4.0333333333333332</v>
      </c>
      <c r="D40" s="38">
        <v>4.2333333333333334</v>
      </c>
      <c r="E40" s="39">
        <v>8.0666666666666664</v>
      </c>
      <c r="F40" s="40">
        <v>7.5000000000000011E-2</v>
      </c>
      <c r="G40" s="41">
        <v>4.2333333333333334</v>
      </c>
      <c r="H40" s="42">
        <f t="shared" si="0"/>
        <v>20.641666666666666</v>
      </c>
      <c r="I40" s="52"/>
      <c r="J40" s="20"/>
      <c r="K40" s="20"/>
      <c r="L40" s="20"/>
      <c r="M40" s="20"/>
      <c r="N40" s="20"/>
    </row>
    <row r="41" spans="1:14" x14ac:dyDescent="0.25">
      <c r="A41" s="49">
        <v>40</v>
      </c>
      <c r="B41" s="50" t="s">
        <v>45</v>
      </c>
      <c r="C41" s="37">
        <v>10.333333333333336</v>
      </c>
      <c r="D41" s="38">
        <v>4.5666666666666664</v>
      </c>
      <c r="E41" s="39">
        <v>20.666666666666671</v>
      </c>
      <c r="F41" s="40">
        <v>0.23333333333333336</v>
      </c>
      <c r="G41" s="41">
        <v>4.5666666666666664</v>
      </c>
      <c r="H41" s="42">
        <f t="shared" si="0"/>
        <v>40.366666666666674</v>
      </c>
      <c r="I41" s="52"/>
      <c r="J41" s="20"/>
      <c r="K41" s="20"/>
      <c r="L41" s="20"/>
      <c r="M41" s="20"/>
      <c r="N41" s="20"/>
    </row>
    <row r="42" spans="1:14" x14ac:dyDescent="0.25">
      <c r="A42" s="49">
        <v>41</v>
      </c>
      <c r="B42" s="50" t="s">
        <v>46</v>
      </c>
      <c r="C42" s="37">
        <v>5.4333333333333336</v>
      </c>
      <c r="D42" s="38">
        <v>8.1333333333333329</v>
      </c>
      <c r="E42" s="39">
        <v>10.866666666666667</v>
      </c>
      <c r="F42" s="40">
        <v>0.26527777777777778</v>
      </c>
      <c r="G42" s="41">
        <v>8.1333333333333329</v>
      </c>
      <c r="H42" s="42">
        <f t="shared" si="0"/>
        <v>32.831944444444446</v>
      </c>
      <c r="I42" s="52"/>
      <c r="J42" s="20"/>
      <c r="K42" s="20"/>
      <c r="L42" s="20"/>
      <c r="M42" s="20"/>
      <c r="N42" s="20"/>
    </row>
    <row r="43" spans="1:14" x14ac:dyDescent="0.25">
      <c r="A43" s="49">
        <v>42</v>
      </c>
      <c r="B43" s="50" t="s">
        <v>47</v>
      </c>
      <c r="C43" s="37">
        <v>0</v>
      </c>
      <c r="D43" s="38">
        <v>0</v>
      </c>
      <c r="E43" s="39">
        <v>0</v>
      </c>
      <c r="F43" s="40">
        <v>0</v>
      </c>
      <c r="G43" s="41">
        <v>0</v>
      </c>
      <c r="H43" s="42">
        <f t="shared" si="0"/>
        <v>0</v>
      </c>
      <c r="I43" s="52"/>
      <c r="J43" s="20"/>
      <c r="K43" s="20"/>
      <c r="L43" s="20"/>
      <c r="M43" s="20"/>
      <c r="N43" s="20"/>
    </row>
    <row r="44" spans="1:14" x14ac:dyDescent="0.25">
      <c r="A44" s="49">
        <v>43</v>
      </c>
      <c r="B44" s="50" t="s">
        <v>48</v>
      </c>
      <c r="C44" s="37">
        <v>10.600000000000001</v>
      </c>
      <c r="D44" s="38">
        <v>10.266666666666666</v>
      </c>
      <c r="E44" s="39">
        <v>21.200000000000003</v>
      </c>
      <c r="F44" s="40">
        <v>0.12638888888888888</v>
      </c>
      <c r="G44" s="41">
        <v>10.266666666666666</v>
      </c>
      <c r="H44" s="42">
        <f t="shared" si="0"/>
        <v>52.459722222222226</v>
      </c>
      <c r="I44" s="52"/>
      <c r="J44" s="20"/>
      <c r="K44" s="20"/>
      <c r="L44" s="20"/>
      <c r="M44" s="20"/>
      <c r="N44" s="20"/>
    </row>
    <row r="45" spans="1:14" x14ac:dyDescent="0.25">
      <c r="A45" s="49">
        <v>44</v>
      </c>
      <c r="B45" s="50" t="s">
        <v>49</v>
      </c>
      <c r="C45" s="37">
        <v>8.4333333333333353</v>
      </c>
      <c r="D45" s="38">
        <v>6.9666666666666677</v>
      </c>
      <c r="E45" s="39">
        <v>16.866666666666671</v>
      </c>
      <c r="F45" s="40">
        <v>0.36805555555555564</v>
      </c>
      <c r="G45" s="41">
        <v>6.9666666666666677</v>
      </c>
      <c r="H45" s="42">
        <f t="shared" si="0"/>
        <v>39.601388888888899</v>
      </c>
      <c r="I45" s="52"/>
      <c r="J45" s="20"/>
      <c r="K45" s="20"/>
      <c r="L45" s="20"/>
      <c r="M45" s="20"/>
      <c r="N45" s="20"/>
    </row>
    <row r="46" spans="1:14" x14ac:dyDescent="0.25">
      <c r="A46" s="49">
        <v>45</v>
      </c>
      <c r="B46" s="50" t="s">
        <v>50</v>
      </c>
      <c r="C46" s="37">
        <v>8.2666666666666675</v>
      </c>
      <c r="D46" s="38">
        <v>3.9666666666666668</v>
      </c>
      <c r="E46" s="39">
        <v>16.533333333333335</v>
      </c>
      <c r="F46" s="40">
        <v>0.20277777777777778</v>
      </c>
      <c r="G46" s="41">
        <v>3.9666666666666668</v>
      </c>
      <c r="H46" s="42">
        <f t="shared" si="0"/>
        <v>32.936111111111117</v>
      </c>
      <c r="I46" s="52"/>
      <c r="J46" s="20"/>
      <c r="K46" s="20"/>
      <c r="L46" s="20"/>
      <c r="M46" s="20"/>
      <c r="N46" s="20"/>
    </row>
    <row r="47" spans="1:14" x14ac:dyDescent="0.25">
      <c r="A47" s="49">
        <v>46</v>
      </c>
      <c r="B47" s="50" t="s">
        <v>51</v>
      </c>
      <c r="C47" s="37">
        <v>9.9666666666666686</v>
      </c>
      <c r="D47" s="38">
        <v>5.8666666666666671</v>
      </c>
      <c r="E47" s="39">
        <v>19.933333333333337</v>
      </c>
      <c r="F47" s="40">
        <v>0.32500000000000001</v>
      </c>
      <c r="G47" s="41">
        <v>5.8666666666666671</v>
      </c>
      <c r="H47" s="42">
        <f t="shared" si="0"/>
        <v>41.958333333333343</v>
      </c>
      <c r="I47" s="52"/>
      <c r="J47" s="20"/>
      <c r="K47" s="20"/>
      <c r="L47" s="20"/>
      <c r="M47" s="20"/>
      <c r="N47" s="20"/>
    </row>
    <row r="48" spans="1:14" x14ac:dyDescent="0.25">
      <c r="A48" s="49">
        <v>47</v>
      </c>
      <c r="B48" s="50" t="s">
        <v>52</v>
      </c>
      <c r="C48" s="37">
        <v>2.1</v>
      </c>
      <c r="D48" s="38">
        <v>0</v>
      </c>
      <c r="E48" s="39">
        <v>4.2</v>
      </c>
      <c r="F48" s="40">
        <v>5.9722222222222225E-2</v>
      </c>
      <c r="G48" s="41">
        <v>0</v>
      </c>
      <c r="H48" s="42">
        <f t="shared" si="0"/>
        <v>6.3597222222222225</v>
      </c>
      <c r="I48" s="52"/>
      <c r="J48" s="20"/>
      <c r="K48" s="20"/>
      <c r="L48" s="20"/>
      <c r="M48" s="20"/>
      <c r="N48" s="20"/>
    </row>
    <row r="49" spans="1:14" x14ac:dyDescent="0.25">
      <c r="A49" s="49">
        <v>48</v>
      </c>
      <c r="B49" s="50" t="s">
        <v>53</v>
      </c>
      <c r="C49" s="37">
        <v>0</v>
      </c>
      <c r="D49" s="38">
        <v>0</v>
      </c>
      <c r="E49" s="39">
        <v>0</v>
      </c>
      <c r="F49" s="40">
        <v>0</v>
      </c>
      <c r="G49" s="41">
        <v>0</v>
      </c>
      <c r="H49" s="42">
        <f t="shared" si="0"/>
        <v>0</v>
      </c>
      <c r="I49" s="52"/>
      <c r="J49" s="20"/>
      <c r="K49" s="20"/>
      <c r="L49" s="20"/>
      <c r="M49" s="20"/>
      <c r="N49" s="20"/>
    </row>
    <row r="50" spans="1:14" x14ac:dyDescent="0.25">
      <c r="A50" s="49">
        <v>49</v>
      </c>
      <c r="B50" s="50" t="s">
        <v>54</v>
      </c>
      <c r="C50" s="37">
        <v>9.6000000000000014</v>
      </c>
      <c r="D50" s="38">
        <v>6.1666666666666679</v>
      </c>
      <c r="E50" s="39">
        <v>19.200000000000003</v>
      </c>
      <c r="F50" s="40">
        <v>0.1680555555555556</v>
      </c>
      <c r="G50" s="41">
        <v>6.1666666666666679</v>
      </c>
      <c r="H50" s="42">
        <f t="shared" si="0"/>
        <v>41.301388888888894</v>
      </c>
      <c r="I50" s="52"/>
      <c r="J50" s="20"/>
      <c r="K50" s="20"/>
      <c r="L50" s="20"/>
      <c r="M50" s="20"/>
      <c r="N50" s="20"/>
    </row>
    <row r="51" spans="1:14" x14ac:dyDescent="0.25">
      <c r="A51" s="49">
        <v>50</v>
      </c>
      <c r="B51" s="53" t="s">
        <v>55</v>
      </c>
      <c r="C51" s="37">
        <v>6.6000000000000005</v>
      </c>
      <c r="D51" s="38">
        <v>1.3666666666666667</v>
      </c>
      <c r="E51" s="39">
        <v>13.200000000000001</v>
      </c>
      <c r="F51" s="40">
        <v>0.13611111111111113</v>
      </c>
      <c r="G51" s="41">
        <v>1.3666666666666667</v>
      </c>
      <c r="H51" s="42">
        <f t="shared" si="0"/>
        <v>22.669444444444448</v>
      </c>
      <c r="I51" s="52"/>
      <c r="J51" s="20"/>
      <c r="K51" s="20"/>
      <c r="L51" s="20"/>
      <c r="M51" s="20"/>
      <c r="N51" s="20"/>
    </row>
    <row r="52" spans="1:14" x14ac:dyDescent="0.25">
      <c r="A52" s="49">
        <v>51</v>
      </c>
      <c r="B52" s="50" t="s">
        <v>56</v>
      </c>
      <c r="C52" s="43">
        <v>5.3000000000000007</v>
      </c>
      <c r="D52" s="44">
        <v>4.1000000000000005</v>
      </c>
      <c r="E52" s="45">
        <v>10.600000000000001</v>
      </c>
      <c r="F52" s="46">
        <v>0.29444444444444445</v>
      </c>
      <c r="G52" s="47">
        <v>4.1000000000000005</v>
      </c>
      <c r="H52" s="48">
        <f t="shared" si="0"/>
        <v>24.394444444444449</v>
      </c>
      <c r="I52" s="54"/>
      <c r="J52" s="21"/>
      <c r="K52" s="21"/>
      <c r="L52" s="21"/>
      <c r="M52" s="21"/>
      <c r="N52" s="21"/>
    </row>
    <row r="53" spans="1:14" x14ac:dyDescent="0.25">
      <c r="A53" s="49">
        <v>52</v>
      </c>
      <c r="B53" s="50" t="s">
        <v>57</v>
      </c>
      <c r="C53" s="37">
        <v>6.7666666666666657</v>
      </c>
      <c r="D53" s="38">
        <v>9.9666666666666686</v>
      </c>
      <c r="E53" s="39">
        <v>13.533333333333331</v>
      </c>
      <c r="F53" s="40">
        <v>0.21250000000000002</v>
      </c>
      <c r="G53" s="41">
        <v>9.9666666666666686</v>
      </c>
      <c r="H53" s="42">
        <f t="shared" si="0"/>
        <v>40.445833333333333</v>
      </c>
      <c r="I53" s="52"/>
      <c r="J53" s="20"/>
      <c r="K53" s="20"/>
      <c r="L53" s="20"/>
      <c r="M53" s="20"/>
      <c r="N53" s="20"/>
    </row>
    <row r="54" spans="1:14" x14ac:dyDescent="0.25">
      <c r="A54" s="49">
        <v>53</v>
      </c>
      <c r="B54" s="50" t="s">
        <v>58</v>
      </c>
      <c r="C54" s="37">
        <v>5.1333333333333329</v>
      </c>
      <c r="D54" s="38">
        <v>7.8000000000000007</v>
      </c>
      <c r="E54" s="39">
        <v>10.266666666666666</v>
      </c>
      <c r="F54" s="40">
        <v>0.26111111111111113</v>
      </c>
      <c r="G54" s="41">
        <v>7.8000000000000007</v>
      </c>
      <c r="H54" s="42">
        <f t="shared" si="0"/>
        <v>31.261111111111113</v>
      </c>
      <c r="I54" s="52"/>
      <c r="J54" s="20"/>
      <c r="K54" s="20"/>
      <c r="L54" s="20"/>
      <c r="M54" s="20"/>
      <c r="N54" s="20"/>
    </row>
    <row r="55" spans="1:14" x14ac:dyDescent="0.25">
      <c r="A55" s="49">
        <v>54</v>
      </c>
      <c r="B55" s="50" t="s">
        <v>59</v>
      </c>
      <c r="C55" s="37">
        <v>0</v>
      </c>
      <c r="D55" s="38">
        <v>0</v>
      </c>
      <c r="E55" s="39">
        <v>0</v>
      </c>
      <c r="F55" s="40">
        <v>0</v>
      </c>
      <c r="G55" s="41">
        <v>0</v>
      </c>
      <c r="H55" s="42">
        <f t="shared" si="0"/>
        <v>0</v>
      </c>
      <c r="I55" s="52"/>
      <c r="J55" s="20"/>
      <c r="K55" s="20"/>
      <c r="L55" s="20"/>
      <c r="M55" s="20"/>
      <c r="N55" s="20"/>
    </row>
    <row r="56" spans="1:14" x14ac:dyDescent="0.25">
      <c r="A56" s="49">
        <v>55</v>
      </c>
      <c r="B56" s="50" t="s">
        <v>60</v>
      </c>
      <c r="C56" s="37">
        <v>0</v>
      </c>
      <c r="D56" s="38">
        <v>0</v>
      </c>
      <c r="E56" s="39">
        <v>0</v>
      </c>
      <c r="F56" s="40">
        <v>0</v>
      </c>
      <c r="G56" s="41">
        <v>0</v>
      </c>
      <c r="H56" s="42">
        <f t="shared" si="0"/>
        <v>0</v>
      </c>
      <c r="I56" s="52"/>
      <c r="J56" s="20"/>
      <c r="K56" s="20"/>
      <c r="L56" s="20"/>
      <c r="M56" s="20"/>
      <c r="N56" s="20"/>
    </row>
    <row r="57" spans="1:14" x14ac:dyDescent="0.25">
      <c r="A57" s="49">
        <v>56</v>
      </c>
      <c r="B57" s="50" t="s">
        <v>61</v>
      </c>
      <c r="C57" s="37">
        <v>8.9</v>
      </c>
      <c r="D57" s="38">
        <v>7.4</v>
      </c>
      <c r="E57" s="39">
        <v>17.8</v>
      </c>
      <c r="F57" s="40">
        <v>0.42500000000000004</v>
      </c>
      <c r="G57" s="41">
        <v>7.4</v>
      </c>
      <c r="H57" s="42">
        <f t="shared" si="0"/>
        <v>41.924999999999997</v>
      </c>
      <c r="I57" s="52"/>
      <c r="J57" s="20"/>
      <c r="K57" s="20"/>
      <c r="L57" s="20"/>
      <c r="M57" s="20"/>
      <c r="N57" s="20"/>
    </row>
    <row r="58" spans="1:14" x14ac:dyDescent="0.25">
      <c r="A58" s="49">
        <v>57</v>
      </c>
      <c r="B58" s="50" t="s">
        <v>62</v>
      </c>
      <c r="C58" s="37">
        <v>8.4</v>
      </c>
      <c r="D58" s="38">
        <v>11.933333333333335</v>
      </c>
      <c r="E58" s="39">
        <v>16.8</v>
      </c>
      <c r="F58" s="40">
        <v>0.37222222222222223</v>
      </c>
      <c r="G58" s="41">
        <v>11.933333333333335</v>
      </c>
      <c r="H58" s="42">
        <f t="shared" si="0"/>
        <v>49.438888888888897</v>
      </c>
      <c r="I58" s="52"/>
      <c r="J58" s="20"/>
      <c r="K58" s="20"/>
      <c r="L58" s="20"/>
      <c r="M58" s="20"/>
      <c r="N58" s="20"/>
    </row>
    <row r="59" spans="1:14" x14ac:dyDescent="0.25">
      <c r="A59" s="49">
        <v>58</v>
      </c>
      <c r="B59" s="50" t="s">
        <v>63</v>
      </c>
      <c r="C59" s="37">
        <v>0</v>
      </c>
      <c r="D59" s="38">
        <v>0</v>
      </c>
      <c r="E59" s="39">
        <v>0</v>
      </c>
      <c r="F59" s="40">
        <v>9.3055555555555558E-2</v>
      </c>
      <c r="G59" s="41">
        <v>0</v>
      </c>
      <c r="H59" s="42">
        <f t="shared" si="0"/>
        <v>9.3055555555555558E-2</v>
      </c>
      <c r="I59" s="52"/>
      <c r="J59" s="20"/>
      <c r="K59" s="20"/>
      <c r="L59" s="20"/>
      <c r="M59" s="20"/>
      <c r="N59" s="20"/>
    </row>
    <row r="60" spans="1:14" x14ac:dyDescent="0.25">
      <c r="A60" s="49">
        <v>59</v>
      </c>
      <c r="B60" s="50" t="s">
        <v>64</v>
      </c>
      <c r="C60" s="37">
        <v>5.9333333333333336</v>
      </c>
      <c r="D60" s="38">
        <v>1</v>
      </c>
      <c r="E60" s="39">
        <v>11.866666666666667</v>
      </c>
      <c r="F60" s="40">
        <v>0.11388888888888889</v>
      </c>
      <c r="G60" s="41">
        <v>1</v>
      </c>
      <c r="H60" s="42">
        <f t="shared" si="0"/>
        <v>19.913888888888888</v>
      </c>
      <c r="I60" s="52"/>
      <c r="J60" s="20"/>
      <c r="K60" s="20"/>
      <c r="L60" s="20"/>
      <c r="M60" s="20"/>
      <c r="N60" s="20"/>
    </row>
    <row r="61" spans="1:14" x14ac:dyDescent="0.25">
      <c r="A61" s="49">
        <v>60</v>
      </c>
      <c r="B61" s="50" t="s">
        <v>65</v>
      </c>
      <c r="C61" s="37">
        <v>0</v>
      </c>
      <c r="D61" s="38">
        <v>6.1000000000000005</v>
      </c>
      <c r="E61" s="39">
        <v>0</v>
      </c>
      <c r="F61" s="40">
        <v>0</v>
      </c>
      <c r="G61" s="41">
        <v>6.1000000000000005</v>
      </c>
      <c r="H61" s="42">
        <f t="shared" si="0"/>
        <v>12.200000000000001</v>
      </c>
      <c r="I61" s="52"/>
      <c r="J61" s="20"/>
      <c r="K61" s="20"/>
      <c r="L61" s="20"/>
      <c r="M61" s="20"/>
      <c r="N61" s="20"/>
    </row>
    <row r="62" spans="1:14" x14ac:dyDescent="0.25">
      <c r="A62" s="49">
        <v>61</v>
      </c>
      <c r="B62" s="50" t="s">
        <v>66</v>
      </c>
      <c r="C62" s="37">
        <v>0</v>
      </c>
      <c r="D62" s="38">
        <v>6.5333333333333332</v>
      </c>
      <c r="E62" s="39">
        <v>0</v>
      </c>
      <c r="F62" s="40">
        <v>0</v>
      </c>
      <c r="G62" s="41">
        <v>6.5333333333333332</v>
      </c>
      <c r="H62" s="42">
        <f t="shared" si="0"/>
        <v>13.066666666666666</v>
      </c>
      <c r="I62" s="52"/>
      <c r="J62" s="20"/>
      <c r="K62" s="20"/>
      <c r="L62" s="20"/>
      <c r="M62" s="20"/>
      <c r="N62" s="20"/>
    </row>
    <row r="63" spans="1:14" x14ac:dyDescent="0.25">
      <c r="A63" s="49">
        <v>62</v>
      </c>
      <c r="B63" s="50" t="s">
        <v>67</v>
      </c>
      <c r="C63" s="37">
        <v>0</v>
      </c>
      <c r="D63" s="38">
        <v>0</v>
      </c>
      <c r="E63" s="39">
        <v>0</v>
      </c>
      <c r="F63" s="40">
        <v>2.3611111111111114E-2</v>
      </c>
      <c r="G63" s="41">
        <v>0</v>
      </c>
      <c r="H63" s="42">
        <f t="shared" si="0"/>
        <v>2.3611111111111114E-2</v>
      </c>
      <c r="I63" s="52"/>
      <c r="J63" s="20"/>
      <c r="K63" s="20"/>
      <c r="L63" s="20"/>
      <c r="M63" s="20"/>
      <c r="N63" s="20"/>
    </row>
    <row r="64" spans="1:14" x14ac:dyDescent="0.25">
      <c r="A64" s="49">
        <v>63</v>
      </c>
      <c r="B64" s="50" t="s">
        <v>68</v>
      </c>
      <c r="C64" s="37">
        <v>2.3666666666666667</v>
      </c>
      <c r="D64" s="38">
        <v>2.5</v>
      </c>
      <c r="E64" s="39">
        <v>4.7333333333333334</v>
      </c>
      <c r="F64" s="40">
        <v>0.52638888888888891</v>
      </c>
      <c r="G64" s="41">
        <v>2.5</v>
      </c>
      <c r="H64" s="42">
        <f t="shared" si="0"/>
        <v>12.62638888888889</v>
      </c>
      <c r="I64" s="52"/>
      <c r="J64" s="20"/>
      <c r="K64" s="20"/>
      <c r="L64" s="20"/>
      <c r="M64" s="20"/>
      <c r="N64" s="20"/>
    </row>
    <row r="65" spans="1:14" x14ac:dyDescent="0.25">
      <c r="A65" s="49">
        <v>64</v>
      </c>
      <c r="B65" s="50" t="s">
        <v>69</v>
      </c>
      <c r="C65" s="37">
        <v>5.2333333333333334</v>
      </c>
      <c r="D65" s="38">
        <v>11.866666666666667</v>
      </c>
      <c r="E65" s="39">
        <v>10.466666666666667</v>
      </c>
      <c r="F65" s="40">
        <v>5.4166666666666675E-2</v>
      </c>
      <c r="G65" s="41">
        <v>11.866666666666667</v>
      </c>
      <c r="H65" s="42">
        <f t="shared" si="0"/>
        <v>39.487500000000004</v>
      </c>
      <c r="I65" s="52"/>
      <c r="J65" s="20"/>
      <c r="K65" s="20"/>
      <c r="L65" s="20"/>
      <c r="M65" s="20"/>
      <c r="N65" s="20"/>
    </row>
    <row r="66" spans="1:14" x14ac:dyDescent="0.25">
      <c r="A66" s="49">
        <v>65</v>
      </c>
      <c r="B66" s="50" t="s">
        <v>70</v>
      </c>
      <c r="C66" s="37">
        <v>4.2666666666666675</v>
      </c>
      <c r="D66" s="38">
        <v>0</v>
      </c>
      <c r="E66" s="39">
        <v>8.533333333333335</v>
      </c>
      <c r="F66" s="40">
        <v>0.18888888888888888</v>
      </c>
      <c r="G66" s="41">
        <v>0</v>
      </c>
      <c r="H66" s="42">
        <f t="shared" ref="H66:H129" si="1">SUM(C66:G66)</f>
        <v>12.988888888888891</v>
      </c>
      <c r="I66" s="52"/>
      <c r="J66" s="20"/>
      <c r="K66" s="20"/>
      <c r="L66" s="20"/>
      <c r="M66" s="20"/>
      <c r="N66" s="20"/>
    </row>
    <row r="67" spans="1:14" x14ac:dyDescent="0.25">
      <c r="A67" s="49">
        <v>66</v>
      </c>
      <c r="B67" s="50" t="s">
        <v>71</v>
      </c>
      <c r="C67" s="37">
        <v>7.9666666666666659</v>
      </c>
      <c r="D67" s="38">
        <v>9.7666666666666675</v>
      </c>
      <c r="E67" s="39">
        <v>15.933333333333332</v>
      </c>
      <c r="F67" s="40">
        <v>0.19166666666666668</v>
      </c>
      <c r="G67" s="41">
        <v>9.7666666666666675</v>
      </c>
      <c r="H67" s="42">
        <f t="shared" si="1"/>
        <v>43.625</v>
      </c>
      <c r="I67" s="52"/>
      <c r="J67" s="20"/>
      <c r="K67" s="20"/>
      <c r="L67" s="20"/>
      <c r="M67" s="20"/>
      <c r="N67" s="20"/>
    </row>
    <row r="68" spans="1:14" x14ac:dyDescent="0.25">
      <c r="A68" s="49">
        <v>67</v>
      </c>
      <c r="B68" s="50" t="s">
        <v>72</v>
      </c>
      <c r="C68" s="37">
        <v>7.7333333333333334</v>
      </c>
      <c r="D68" s="38">
        <v>9.0333333333333332</v>
      </c>
      <c r="E68" s="39">
        <v>15.466666666666667</v>
      </c>
      <c r="F68" s="40">
        <v>0.40277777777777779</v>
      </c>
      <c r="G68" s="41">
        <v>9.0333333333333332</v>
      </c>
      <c r="H68" s="42">
        <f t="shared" si="1"/>
        <v>41.669444444444444</v>
      </c>
      <c r="I68" s="52"/>
      <c r="J68" s="20"/>
      <c r="K68" s="20"/>
      <c r="L68" s="20"/>
      <c r="M68" s="20"/>
      <c r="N68" s="20"/>
    </row>
    <row r="69" spans="1:14" x14ac:dyDescent="0.25">
      <c r="A69" s="49">
        <v>68</v>
      </c>
      <c r="B69" s="50" t="s">
        <v>73</v>
      </c>
      <c r="C69" s="37">
        <v>9.1333333333333329</v>
      </c>
      <c r="D69" s="38">
        <v>8.0666666666666664</v>
      </c>
      <c r="E69" s="39">
        <v>18.266666666666666</v>
      </c>
      <c r="F69" s="40">
        <v>0.16250000000000001</v>
      </c>
      <c r="G69" s="41">
        <v>8.0666666666666664</v>
      </c>
      <c r="H69" s="42">
        <f t="shared" si="1"/>
        <v>43.69583333333334</v>
      </c>
      <c r="I69" s="52"/>
      <c r="J69" s="20"/>
      <c r="K69" s="20"/>
      <c r="L69" s="20"/>
      <c r="M69" s="20"/>
      <c r="N69" s="20"/>
    </row>
    <row r="70" spans="1:14" x14ac:dyDescent="0.25">
      <c r="A70" s="49">
        <v>69</v>
      </c>
      <c r="B70" s="50" t="s">
        <v>74</v>
      </c>
      <c r="C70" s="37">
        <v>6.7666666666666657</v>
      </c>
      <c r="D70" s="38">
        <v>8.4333333333333353</v>
      </c>
      <c r="E70" s="39">
        <v>13.533333333333331</v>
      </c>
      <c r="F70" s="40">
        <v>0.52638888888888891</v>
      </c>
      <c r="G70" s="41">
        <v>8.4333333333333353</v>
      </c>
      <c r="H70" s="42">
        <f t="shared" si="1"/>
        <v>37.69305555555556</v>
      </c>
      <c r="I70" s="52"/>
      <c r="J70" s="20"/>
      <c r="K70" s="20"/>
      <c r="L70" s="20"/>
      <c r="M70" s="20"/>
      <c r="N70" s="20"/>
    </row>
    <row r="71" spans="1:14" x14ac:dyDescent="0.25">
      <c r="A71" s="49">
        <v>70</v>
      </c>
      <c r="B71" s="50" t="s">
        <v>75</v>
      </c>
      <c r="C71" s="37">
        <v>13.766666666666666</v>
      </c>
      <c r="D71" s="38">
        <v>18.7</v>
      </c>
      <c r="E71" s="39">
        <v>27.533333333333331</v>
      </c>
      <c r="F71" s="40">
        <v>0.18194444444444446</v>
      </c>
      <c r="G71" s="41">
        <v>18.7</v>
      </c>
      <c r="H71" s="42">
        <f t="shared" si="1"/>
        <v>78.881944444444443</v>
      </c>
      <c r="I71" s="52"/>
      <c r="J71" s="20"/>
      <c r="K71" s="20"/>
      <c r="L71" s="20"/>
      <c r="M71" s="20"/>
      <c r="N71" s="20"/>
    </row>
    <row r="72" spans="1:14" x14ac:dyDescent="0.25">
      <c r="A72" s="49">
        <v>71</v>
      </c>
      <c r="B72" s="50" t="s">
        <v>76</v>
      </c>
      <c r="C72" s="37">
        <v>10</v>
      </c>
      <c r="D72" s="38">
        <v>3.7333333333333338</v>
      </c>
      <c r="E72" s="39">
        <v>20</v>
      </c>
      <c r="F72" s="40">
        <v>0.52083333333333337</v>
      </c>
      <c r="G72" s="41">
        <v>3.7333333333333338</v>
      </c>
      <c r="H72" s="42">
        <f t="shared" si="1"/>
        <v>37.987500000000004</v>
      </c>
      <c r="I72" s="52"/>
      <c r="J72" s="20"/>
      <c r="K72" s="20"/>
      <c r="L72" s="20"/>
      <c r="M72" s="20"/>
      <c r="N72" s="20"/>
    </row>
    <row r="73" spans="1:14" x14ac:dyDescent="0.25">
      <c r="A73" s="49">
        <v>72</v>
      </c>
      <c r="B73" s="50" t="s">
        <v>77</v>
      </c>
      <c r="C73" s="37">
        <v>16.133333333333333</v>
      </c>
      <c r="D73" s="38">
        <v>15.566666666666666</v>
      </c>
      <c r="E73" s="39">
        <v>32.266666666666666</v>
      </c>
      <c r="F73" s="40">
        <v>0.32361111111111118</v>
      </c>
      <c r="G73" s="41">
        <v>15.566666666666666</v>
      </c>
      <c r="H73" s="42">
        <f t="shared" si="1"/>
        <v>79.856944444444437</v>
      </c>
      <c r="I73" s="52"/>
      <c r="J73" s="20"/>
      <c r="K73" s="20"/>
      <c r="L73" s="20"/>
      <c r="M73" s="20"/>
      <c r="N73" s="20"/>
    </row>
    <row r="74" spans="1:14" x14ac:dyDescent="0.25">
      <c r="A74" s="49">
        <v>73</v>
      </c>
      <c r="B74" s="50" t="s">
        <v>78</v>
      </c>
      <c r="C74" s="37">
        <v>4.6333333333333329</v>
      </c>
      <c r="D74" s="38">
        <v>9.5666666666666682</v>
      </c>
      <c r="E74" s="39">
        <v>9.2666666666666657</v>
      </c>
      <c r="F74" s="40">
        <v>0.49166666666666681</v>
      </c>
      <c r="G74" s="41">
        <v>9.5666666666666682</v>
      </c>
      <c r="H74" s="42">
        <f t="shared" si="1"/>
        <v>33.525000000000006</v>
      </c>
      <c r="I74" s="52"/>
      <c r="J74" s="20"/>
      <c r="K74" s="20"/>
      <c r="L74" s="20"/>
      <c r="M74" s="20"/>
      <c r="N74" s="20"/>
    </row>
    <row r="75" spans="1:14" ht="26.25" x14ac:dyDescent="0.25">
      <c r="A75" s="49">
        <v>74</v>
      </c>
      <c r="B75" s="50" t="s">
        <v>79</v>
      </c>
      <c r="C75" s="37">
        <v>6.8000000000000007</v>
      </c>
      <c r="D75" s="38">
        <v>9.4333333333333353</v>
      </c>
      <c r="E75" s="39">
        <v>13.600000000000001</v>
      </c>
      <c r="F75" s="40">
        <v>0.58333333333333337</v>
      </c>
      <c r="G75" s="41">
        <v>9.4333333333333353</v>
      </c>
      <c r="H75" s="42">
        <f t="shared" si="1"/>
        <v>39.85</v>
      </c>
      <c r="I75" s="52"/>
      <c r="J75" s="20"/>
      <c r="K75" s="20"/>
      <c r="L75" s="20"/>
      <c r="M75" s="20"/>
      <c r="N75" s="20"/>
    </row>
    <row r="76" spans="1:14" x14ac:dyDescent="0.25">
      <c r="A76" s="49">
        <v>75</v>
      </c>
      <c r="B76" s="50" t="s">
        <v>80</v>
      </c>
      <c r="C76" s="37">
        <v>11.366666666666667</v>
      </c>
      <c r="D76" s="38">
        <v>8.6</v>
      </c>
      <c r="E76" s="39">
        <v>22.733333333333334</v>
      </c>
      <c r="F76" s="40">
        <v>0.2</v>
      </c>
      <c r="G76" s="41">
        <v>8.6</v>
      </c>
      <c r="H76" s="42">
        <f t="shared" si="1"/>
        <v>51.500000000000007</v>
      </c>
      <c r="I76" s="52"/>
      <c r="J76" s="20"/>
      <c r="K76" s="20"/>
      <c r="L76" s="20"/>
      <c r="M76" s="20"/>
      <c r="N76" s="20"/>
    </row>
    <row r="77" spans="1:14" x14ac:dyDescent="0.25">
      <c r="A77" s="49">
        <v>76</v>
      </c>
      <c r="B77" s="50" t="s">
        <v>81</v>
      </c>
      <c r="C77" s="37">
        <v>3.333333333333333</v>
      </c>
      <c r="D77" s="38">
        <v>1.1666666666666667</v>
      </c>
      <c r="E77" s="39">
        <v>6.6666666666666661</v>
      </c>
      <c r="F77" s="40">
        <v>0.47361111111111109</v>
      </c>
      <c r="G77" s="41">
        <v>1.1666666666666667</v>
      </c>
      <c r="H77" s="42">
        <f t="shared" si="1"/>
        <v>12.806944444444444</v>
      </c>
      <c r="I77" s="52"/>
      <c r="J77" s="20"/>
      <c r="K77" s="20"/>
      <c r="L77" s="20"/>
      <c r="M77" s="20"/>
      <c r="N77" s="20"/>
    </row>
    <row r="78" spans="1:14" x14ac:dyDescent="0.25">
      <c r="A78" s="49">
        <v>77</v>
      </c>
      <c r="B78" s="50" t="s">
        <v>82</v>
      </c>
      <c r="C78" s="37">
        <v>9.7000000000000011</v>
      </c>
      <c r="D78" s="38">
        <v>9.5</v>
      </c>
      <c r="E78" s="39">
        <v>19.400000000000002</v>
      </c>
      <c r="F78" s="40">
        <v>0.16111111111111112</v>
      </c>
      <c r="G78" s="41">
        <v>9.5</v>
      </c>
      <c r="H78" s="42">
        <f t="shared" si="1"/>
        <v>48.26111111111112</v>
      </c>
      <c r="I78" s="52"/>
      <c r="J78" s="20"/>
      <c r="K78" s="20"/>
      <c r="L78" s="20"/>
      <c r="M78" s="20"/>
      <c r="N78" s="20"/>
    </row>
    <row r="79" spans="1:14" x14ac:dyDescent="0.25">
      <c r="A79" s="49">
        <v>78</v>
      </c>
      <c r="B79" s="50" t="s">
        <v>83</v>
      </c>
      <c r="C79" s="37">
        <v>6.4666666666666659</v>
      </c>
      <c r="D79" s="38">
        <v>7.3000000000000007</v>
      </c>
      <c r="E79" s="39">
        <v>12.933333333333332</v>
      </c>
      <c r="F79" s="40">
        <v>0.6527777777777779</v>
      </c>
      <c r="G79" s="41">
        <v>7.3000000000000007</v>
      </c>
      <c r="H79" s="42">
        <f t="shared" si="1"/>
        <v>34.652777777777771</v>
      </c>
      <c r="I79" s="52"/>
      <c r="J79" s="20"/>
      <c r="K79" s="20"/>
      <c r="L79" s="20"/>
      <c r="M79" s="20"/>
      <c r="N79" s="20"/>
    </row>
    <row r="80" spans="1:14" ht="26.25" x14ac:dyDescent="0.25">
      <c r="A80" s="49">
        <v>79</v>
      </c>
      <c r="B80" s="50" t="s">
        <v>84</v>
      </c>
      <c r="C80" s="37">
        <v>16.133333333333333</v>
      </c>
      <c r="D80" s="38">
        <v>14.033333333333335</v>
      </c>
      <c r="E80" s="39">
        <v>32.266666666666666</v>
      </c>
      <c r="F80" s="40">
        <v>0.30694444444444446</v>
      </c>
      <c r="G80" s="41">
        <v>14.033333333333335</v>
      </c>
      <c r="H80" s="42">
        <f t="shared" si="1"/>
        <v>76.773611111111123</v>
      </c>
      <c r="I80" s="52"/>
      <c r="J80" s="20"/>
      <c r="K80" s="20"/>
      <c r="L80" s="20"/>
      <c r="M80" s="20"/>
      <c r="N80" s="20"/>
    </row>
    <row r="81" spans="1:14" x14ac:dyDescent="0.25">
      <c r="A81" s="49">
        <v>80</v>
      </c>
      <c r="B81" s="50" t="s">
        <v>85</v>
      </c>
      <c r="C81" s="37">
        <v>13.3</v>
      </c>
      <c r="D81" s="38">
        <v>16.233333333333334</v>
      </c>
      <c r="E81" s="39">
        <v>26.6</v>
      </c>
      <c r="F81" s="40">
        <v>0.41388888888888886</v>
      </c>
      <c r="G81" s="41">
        <v>16.233333333333334</v>
      </c>
      <c r="H81" s="42">
        <f t="shared" si="1"/>
        <v>72.780555555555566</v>
      </c>
      <c r="I81" s="52"/>
      <c r="J81" s="20"/>
      <c r="K81" s="20"/>
      <c r="L81" s="20"/>
      <c r="M81" s="20"/>
      <c r="N81" s="20"/>
    </row>
    <row r="82" spans="1:14" x14ac:dyDescent="0.25">
      <c r="A82" s="49">
        <v>81</v>
      </c>
      <c r="B82" s="50" t="s">
        <v>86</v>
      </c>
      <c r="C82" s="37">
        <v>0</v>
      </c>
      <c r="D82" s="38">
        <v>0</v>
      </c>
      <c r="E82" s="39">
        <v>0</v>
      </c>
      <c r="F82" s="40">
        <v>0.16944444444444448</v>
      </c>
      <c r="G82" s="41">
        <v>0</v>
      </c>
      <c r="H82" s="42">
        <f t="shared" si="1"/>
        <v>0.16944444444444448</v>
      </c>
      <c r="I82" s="52"/>
      <c r="J82" s="20"/>
      <c r="K82" s="20"/>
      <c r="L82" s="20"/>
      <c r="M82" s="20"/>
      <c r="N82" s="20"/>
    </row>
    <row r="83" spans="1:14" x14ac:dyDescent="0.25">
      <c r="A83" s="49">
        <v>82</v>
      </c>
      <c r="B83" s="50" t="s">
        <v>87</v>
      </c>
      <c r="C83" s="37">
        <v>0</v>
      </c>
      <c r="D83" s="38">
        <v>0</v>
      </c>
      <c r="E83" s="39">
        <v>0</v>
      </c>
      <c r="F83" s="40">
        <v>0.38888888888888895</v>
      </c>
      <c r="G83" s="41">
        <v>0</v>
      </c>
      <c r="H83" s="42">
        <f t="shared" si="1"/>
        <v>0.38888888888888895</v>
      </c>
      <c r="I83" s="52"/>
      <c r="J83" s="20"/>
      <c r="K83" s="20"/>
      <c r="L83" s="20"/>
      <c r="M83" s="20"/>
      <c r="N83" s="20"/>
    </row>
    <row r="84" spans="1:14" x14ac:dyDescent="0.25">
      <c r="A84" s="49">
        <v>83</v>
      </c>
      <c r="B84" s="50" t="s">
        <v>88</v>
      </c>
      <c r="C84" s="37">
        <v>17.333333333333336</v>
      </c>
      <c r="D84" s="38">
        <v>18.166666666666668</v>
      </c>
      <c r="E84" s="39">
        <v>34.666666666666671</v>
      </c>
      <c r="F84" s="40">
        <v>0.10277777777777777</v>
      </c>
      <c r="G84" s="41">
        <v>18.166666666666668</v>
      </c>
      <c r="H84" s="42">
        <f t="shared" si="1"/>
        <v>88.436111111111117</v>
      </c>
      <c r="I84" s="52"/>
      <c r="J84" s="20"/>
      <c r="K84" s="20"/>
      <c r="L84" s="20"/>
      <c r="M84" s="20"/>
      <c r="N84" s="20"/>
    </row>
    <row r="85" spans="1:14" x14ac:dyDescent="0.25">
      <c r="A85" s="49">
        <v>84</v>
      </c>
      <c r="B85" s="50" t="s">
        <v>89</v>
      </c>
      <c r="C85" s="37">
        <v>6.2</v>
      </c>
      <c r="D85" s="38">
        <v>10.333333333333336</v>
      </c>
      <c r="E85" s="39">
        <v>12.4</v>
      </c>
      <c r="F85" s="40">
        <v>0.47500000000000003</v>
      </c>
      <c r="G85" s="41">
        <v>10.333333333333336</v>
      </c>
      <c r="H85" s="42">
        <f t="shared" si="1"/>
        <v>39.741666666666674</v>
      </c>
      <c r="I85" s="52"/>
      <c r="J85" s="20"/>
      <c r="K85" s="20"/>
      <c r="L85" s="20"/>
      <c r="M85" s="20"/>
      <c r="N85" s="20"/>
    </row>
    <row r="86" spans="1:14" x14ac:dyDescent="0.25">
      <c r="A86" s="49">
        <v>85</v>
      </c>
      <c r="B86" s="50" t="s">
        <v>90</v>
      </c>
      <c r="C86" s="37">
        <v>0</v>
      </c>
      <c r="D86" s="38">
        <v>0</v>
      </c>
      <c r="E86" s="39">
        <v>0</v>
      </c>
      <c r="F86" s="40">
        <v>0.51111111111111107</v>
      </c>
      <c r="G86" s="41">
        <v>0</v>
      </c>
      <c r="H86" s="42">
        <f t="shared" si="1"/>
        <v>0.51111111111111107</v>
      </c>
      <c r="I86" s="52"/>
      <c r="J86" s="20"/>
      <c r="K86" s="20"/>
      <c r="L86" s="20"/>
      <c r="M86" s="20"/>
      <c r="N86" s="20"/>
    </row>
    <row r="87" spans="1:14" x14ac:dyDescent="0.25">
      <c r="A87" s="49">
        <v>86</v>
      </c>
      <c r="B87" s="50" t="s">
        <v>91</v>
      </c>
      <c r="C87" s="37">
        <v>13.833333333333336</v>
      </c>
      <c r="D87" s="38">
        <v>15.600000000000001</v>
      </c>
      <c r="E87" s="39">
        <v>27.666666666666671</v>
      </c>
      <c r="F87" s="40">
        <v>0.10833333333333335</v>
      </c>
      <c r="G87" s="41">
        <v>15.600000000000001</v>
      </c>
      <c r="H87" s="42">
        <f t="shared" si="1"/>
        <v>72.808333333333337</v>
      </c>
      <c r="I87" s="52"/>
      <c r="J87" s="20"/>
      <c r="K87" s="20"/>
      <c r="L87" s="20"/>
      <c r="M87" s="20"/>
      <c r="N87" s="20"/>
    </row>
    <row r="88" spans="1:14" x14ac:dyDescent="0.25">
      <c r="A88" s="49">
        <v>87</v>
      </c>
      <c r="B88" s="50" t="s">
        <v>92</v>
      </c>
      <c r="C88" s="37">
        <v>6.7666666666666657</v>
      </c>
      <c r="D88" s="38">
        <v>3.4333333333333336</v>
      </c>
      <c r="E88" s="39">
        <v>13.533333333333331</v>
      </c>
      <c r="F88" s="40">
        <v>0.32916666666666666</v>
      </c>
      <c r="G88" s="41">
        <v>3.4333333333333336</v>
      </c>
      <c r="H88" s="42">
        <f t="shared" si="1"/>
        <v>27.49583333333333</v>
      </c>
      <c r="I88" s="52"/>
      <c r="J88" s="20"/>
      <c r="K88" s="20"/>
      <c r="L88" s="20"/>
      <c r="M88" s="20"/>
      <c r="N88" s="20"/>
    </row>
    <row r="89" spans="1:14" x14ac:dyDescent="0.25">
      <c r="A89" s="49">
        <v>88</v>
      </c>
      <c r="B89" s="50" t="s">
        <v>93</v>
      </c>
      <c r="C89" s="37">
        <v>3.1333333333333337</v>
      </c>
      <c r="D89" s="38">
        <v>0</v>
      </c>
      <c r="E89" s="39">
        <v>6.2666666666666675</v>
      </c>
      <c r="F89" s="40">
        <v>0.42777777777777781</v>
      </c>
      <c r="G89" s="41">
        <v>0</v>
      </c>
      <c r="H89" s="42">
        <f t="shared" si="1"/>
        <v>9.8277777777777793</v>
      </c>
      <c r="I89" s="52"/>
      <c r="J89" s="20"/>
      <c r="K89" s="20"/>
      <c r="L89" s="20"/>
      <c r="M89" s="20"/>
      <c r="N89" s="20"/>
    </row>
    <row r="90" spans="1:14" x14ac:dyDescent="0.25">
      <c r="A90" s="49">
        <v>89</v>
      </c>
      <c r="B90" s="50" t="s">
        <v>94</v>
      </c>
      <c r="C90" s="37">
        <v>16.166666666666668</v>
      </c>
      <c r="D90" s="38">
        <v>16.100000000000001</v>
      </c>
      <c r="E90" s="39">
        <v>32.333333333333336</v>
      </c>
      <c r="F90" s="40">
        <v>0.30138888888888893</v>
      </c>
      <c r="G90" s="41">
        <v>16.100000000000001</v>
      </c>
      <c r="H90" s="42">
        <f t="shared" si="1"/>
        <v>81.001388888888897</v>
      </c>
      <c r="I90" s="52"/>
      <c r="J90" s="20"/>
      <c r="K90" s="20"/>
      <c r="L90" s="20"/>
      <c r="M90" s="20"/>
      <c r="N90" s="20"/>
    </row>
    <row r="91" spans="1:14" x14ac:dyDescent="0.25">
      <c r="A91" s="49">
        <v>90</v>
      </c>
      <c r="B91" s="50" t="s">
        <v>95</v>
      </c>
      <c r="C91" s="37">
        <v>15.733333333333333</v>
      </c>
      <c r="D91" s="38">
        <v>18.666666666666668</v>
      </c>
      <c r="E91" s="39">
        <v>31.466666666666665</v>
      </c>
      <c r="F91" s="40">
        <v>0.63333333333333341</v>
      </c>
      <c r="G91" s="41">
        <v>18.666666666666668</v>
      </c>
      <c r="H91" s="42">
        <f t="shared" si="1"/>
        <v>85.166666666666671</v>
      </c>
      <c r="I91" s="52"/>
      <c r="J91" s="20"/>
      <c r="K91" s="20"/>
      <c r="L91" s="20"/>
      <c r="M91" s="20"/>
      <c r="N91" s="20"/>
    </row>
    <row r="92" spans="1:14" x14ac:dyDescent="0.25">
      <c r="A92" s="49">
        <v>91</v>
      </c>
      <c r="B92" s="50" t="s">
        <v>96</v>
      </c>
      <c r="C92" s="37">
        <v>9.9</v>
      </c>
      <c r="D92" s="38">
        <v>6.5666666666666664</v>
      </c>
      <c r="E92" s="39">
        <v>19.8</v>
      </c>
      <c r="F92" s="40">
        <v>0.19305555555555559</v>
      </c>
      <c r="G92" s="41">
        <v>6.5666666666666664</v>
      </c>
      <c r="H92" s="42">
        <f t="shared" si="1"/>
        <v>43.026388888888889</v>
      </c>
      <c r="I92" s="52"/>
      <c r="J92" s="20"/>
      <c r="K92" s="20"/>
      <c r="L92" s="20"/>
      <c r="M92" s="20"/>
      <c r="N92" s="20"/>
    </row>
    <row r="93" spans="1:14" x14ac:dyDescent="0.25">
      <c r="A93" s="49">
        <v>92</v>
      </c>
      <c r="B93" s="50" t="s">
        <v>97</v>
      </c>
      <c r="C93" s="37">
        <v>0</v>
      </c>
      <c r="D93" s="38">
        <v>0</v>
      </c>
      <c r="E93" s="39">
        <v>0</v>
      </c>
      <c r="F93" s="40">
        <v>0.38194444444444448</v>
      </c>
      <c r="G93" s="41">
        <v>0</v>
      </c>
      <c r="H93" s="42">
        <f t="shared" si="1"/>
        <v>0.38194444444444448</v>
      </c>
      <c r="I93" s="52"/>
      <c r="J93" s="20"/>
      <c r="K93" s="20"/>
      <c r="L93" s="20"/>
      <c r="M93" s="20"/>
      <c r="N93" s="20"/>
    </row>
    <row r="94" spans="1:14" x14ac:dyDescent="0.25">
      <c r="A94" s="49">
        <v>93</v>
      </c>
      <c r="B94" s="50" t="s">
        <v>98</v>
      </c>
      <c r="C94" s="37">
        <v>11.366666666666667</v>
      </c>
      <c r="D94" s="38">
        <v>13.5</v>
      </c>
      <c r="E94" s="39">
        <v>22.733333333333334</v>
      </c>
      <c r="F94" s="40">
        <v>0</v>
      </c>
      <c r="G94" s="41">
        <v>13.5</v>
      </c>
      <c r="H94" s="42">
        <f t="shared" si="1"/>
        <v>61.1</v>
      </c>
      <c r="I94" s="52"/>
      <c r="J94" s="20"/>
      <c r="K94" s="20"/>
      <c r="L94" s="20"/>
      <c r="M94" s="20"/>
      <c r="N94" s="20"/>
    </row>
    <row r="95" spans="1:14" x14ac:dyDescent="0.25">
      <c r="A95" s="49">
        <v>94</v>
      </c>
      <c r="B95" s="50" t="s">
        <v>99</v>
      </c>
      <c r="C95" s="37">
        <v>0</v>
      </c>
      <c r="D95" s="38">
        <v>0</v>
      </c>
      <c r="E95" s="39">
        <v>0</v>
      </c>
      <c r="F95" s="40">
        <v>0.37500000000000006</v>
      </c>
      <c r="G95" s="41">
        <v>0</v>
      </c>
      <c r="H95" s="42">
        <f t="shared" si="1"/>
        <v>0.37500000000000006</v>
      </c>
      <c r="I95" s="52"/>
      <c r="J95" s="20"/>
      <c r="K95" s="20"/>
      <c r="L95" s="20"/>
      <c r="M95" s="20"/>
      <c r="N95" s="20"/>
    </row>
    <row r="96" spans="1:14" x14ac:dyDescent="0.25">
      <c r="A96" s="49">
        <v>95</v>
      </c>
      <c r="B96" s="50" t="s">
        <v>100</v>
      </c>
      <c r="C96" s="37">
        <v>10.766666666666667</v>
      </c>
      <c r="D96" s="38">
        <v>11.9</v>
      </c>
      <c r="E96" s="39">
        <v>21.533333333333335</v>
      </c>
      <c r="F96" s="40">
        <v>0.1680555555555556</v>
      </c>
      <c r="G96" s="41">
        <v>11.9</v>
      </c>
      <c r="H96" s="42">
        <f t="shared" si="1"/>
        <v>56.268055555555556</v>
      </c>
      <c r="I96" s="52"/>
      <c r="J96" s="20"/>
      <c r="K96" s="20"/>
      <c r="L96" s="20"/>
      <c r="M96" s="20"/>
      <c r="N96" s="20"/>
    </row>
    <row r="97" spans="1:14" x14ac:dyDescent="0.25">
      <c r="A97" s="49">
        <v>96</v>
      </c>
      <c r="B97" s="50" t="s">
        <v>101</v>
      </c>
      <c r="C97" s="37">
        <v>7.3666666666666671</v>
      </c>
      <c r="D97" s="38">
        <v>7.5</v>
      </c>
      <c r="E97" s="39">
        <v>14.733333333333334</v>
      </c>
      <c r="F97" s="40">
        <v>0.25694444444444448</v>
      </c>
      <c r="G97" s="41">
        <v>7.5</v>
      </c>
      <c r="H97" s="42">
        <f t="shared" si="1"/>
        <v>37.356944444444444</v>
      </c>
      <c r="I97" s="52"/>
      <c r="J97" s="20"/>
      <c r="K97" s="20"/>
      <c r="L97" s="20"/>
      <c r="M97" s="20"/>
      <c r="N97" s="20"/>
    </row>
    <row r="98" spans="1:14" x14ac:dyDescent="0.25">
      <c r="A98" s="49">
        <v>97</v>
      </c>
      <c r="B98" s="50" t="s">
        <v>102</v>
      </c>
      <c r="C98" s="37">
        <v>0</v>
      </c>
      <c r="D98" s="38">
        <v>0</v>
      </c>
      <c r="E98" s="39">
        <v>0</v>
      </c>
      <c r="F98" s="40">
        <v>0.10972222222222222</v>
      </c>
      <c r="G98" s="41">
        <v>0</v>
      </c>
      <c r="H98" s="42">
        <f t="shared" si="1"/>
        <v>0.10972222222222222</v>
      </c>
      <c r="I98" s="52"/>
      <c r="J98" s="20"/>
      <c r="K98" s="20"/>
      <c r="L98" s="20"/>
      <c r="M98" s="20"/>
      <c r="N98" s="20"/>
    </row>
    <row r="99" spans="1:14" x14ac:dyDescent="0.25">
      <c r="A99" s="49">
        <v>98</v>
      </c>
      <c r="B99" s="50" t="s">
        <v>103</v>
      </c>
      <c r="C99" s="37">
        <v>0</v>
      </c>
      <c r="D99" s="38">
        <v>0</v>
      </c>
      <c r="E99" s="39">
        <v>0</v>
      </c>
      <c r="F99" s="40">
        <v>0</v>
      </c>
      <c r="G99" s="41">
        <v>0</v>
      </c>
      <c r="H99" s="42">
        <f t="shared" si="1"/>
        <v>0</v>
      </c>
      <c r="I99" s="52"/>
      <c r="J99" s="20"/>
      <c r="K99" s="20"/>
      <c r="L99" s="20"/>
      <c r="M99" s="20"/>
      <c r="N99" s="20"/>
    </row>
    <row r="100" spans="1:14" x14ac:dyDescent="0.25">
      <c r="A100" s="49">
        <v>99</v>
      </c>
      <c r="B100" s="50" t="s">
        <v>104</v>
      </c>
      <c r="C100" s="37">
        <v>2.6333333333333333</v>
      </c>
      <c r="D100" s="38">
        <v>0</v>
      </c>
      <c r="E100" s="39">
        <v>5.2666666666666666</v>
      </c>
      <c r="F100" s="40">
        <v>0</v>
      </c>
      <c r="G100" s="41">
        <v>0</v>
      </c>
      <c r="H100" s="42">
        <f t="shared" si="1"/>
        <v>7.9</v>
      </c>
      <c r="I100" s="52"/>
      <c r="J100" s="20"/>
      <c r="K100" s="20"/>
      <c r="L100" s="20"/>
      <c r="M100" s="20"/>
      <c r="N100" s="20"/>
    </row>
    <row r="101" spans="1:14" x14ac:dyDescent="0.25">
      <c r="A101" s="49">
        <v>100</v>
      </c>
      <c r="B101" s="50" t="s">
        <v>105</v>
      </c>
      <c r="C101" s="37">
        <v>0</v>
      </c>
      <c r="D101" s="38">
        <v>0</v>
      </c>
      <c r="E101" s="39">
        <v>0</v>
      </c>
      <c r="F101" s="40">
        <v>9.1666666666666674E-2</v>
      </c>
      <c r="G101" s="41">
        <v>0</v>
      </c>
      <c r="H101" s="42">
        <f t="shared" si="1"/>
        <v>9.1666666666666674E-2</v>
      </c>
      <c r="I101" s="52"/>
      <c r="J101" s="20"/>
      <c r="K101" s="20"/>
      <c r="L101" s="20"/>
      <c r="M101" s="20"/>
      <c r="N101" s="20"/>
    </row>
    <row r="102" spans="1:14" x14ac:dyDescent="0.25">
      <c r="A102" s="49">
        <v>101</v>
      </c>
      <c r="B102" s="50" t="s">
        <v>106</v>
      </c>
      <c r="C102" s="37">
        <v>0</v>
      </c>
      <c r="D102" s="38">
        <v>0</v>
      </c>
      <c r="E102" s="39">
        <v>0</v>
      </c>
      <c r="F102" s="40">
        <v>0</v>
      </c>
      <c r="G102" s="41">
        <v>0</v>
      </c>
      <c r="H102" s="42">
        <f t="shared" si="1"/>
        <v>0</v>
      </c>
      <c r="I102" s="52"/>
      <c r="J102" s="20"/>
      <c r="K102" s="20"/>
      <c r="L102" s="20"/>
      <c r="M102" s="20"/>
      <c r="N102" s="20"/>
    </row>
    <row r="103" spans="1:14" x14ac:dyDescent="0.25">
      <c r="A103" s="49">
        <v>102</v>
      </c>
      <c r="B103" s="50" t="s">
        <v>107</v>
      </c>
      <c r="C103" s="37">
        <v>0</v>
      </c>
      <c r="D103" s="38">
        <v>0</v>
      </c>
      <c r="E103" s="39">
        <v>0</v>
      </c>
      <c r="F103" s="40">
        <v>0</v>
      </c>
      <c r="G103" s="41">
        <v>0</v>
      </c>
      <c r="H103" s="42">
        <f t="shared" si="1"/>
        <v>0</v>
      </c>
      <c r="I103" s="52"/>
      <c r="J103" s="20"/>
      <c r="K103" s="20"/>
      <c r="L103" s="20"/>
      <c r="M103" s="20"/>
      <c r="N103" s="20"/>
    </row>
    <row r="104" spans="1:14" x14ac:dyDescent="0.25">
      <c r="A104" s="49">
        <v>103</v>
      </c>
      <c r="B104" s="50" t="s">
        <v>108</v>
      </c>
      <c r="C104" s="37">
        <v>0</v>
      </c>
      <c r="D104" s="38">
        <v>0</v>
      </c>
      <c r="E104" s="39">
        <v>0</v>
      </c>
      <c r="F104" s="40">
        <v>0</v>
      </c>
      <c r="G104" s="41">
        <v>0</v>
      </c>
      <c r="H104" s="42">
        <f t="shared" si="1"/>
        <v>0</v>
      </c>
      <c r="I104" s="52"/>
      <c r="J104" s="20"/>
      <c r="K104" s="20"/>
      <c r="L104" s="20"/>
      <c r="M104" s="20"/>
      <c r="N104" s="20"/>
    </row>
    <row r="105" spans="1:14" x14ac:dyDescent="0.25">
      <c r="A105" s="49">
        <v>104</v>
      </c>
      <c r="B105" s="50" t="s">
        <v>109</v>
      </c>
      <c r="C105" s="37">
        <v>0</v>
      </c>
      <c r="D105" s="38">
        <v>0</v>
      </c>
      <c r="E105" s="39">
        <v>0</v>
      </c>
      <c r="F105" s="40">
        <v>0</v>
      </c>
      <c r="G105" s="41">
        <v>0</v>
      </c>
      <c r="H105" s="42">
        <f t="shared" si="1"/>
        <v>0</v>
      </c>
      <c r="I105" s="52"/>
      <c r="J105" s="20"/>
      <c r="K105" s="20"/>
      <c r="L105" s="20"/>
      <c r="M105" s="20"/>
      <c r="N105" s="20"/>
    </row>
    <row r="106" spans="1:14" x14ac:dyDescent="0.25">
      <c r="A106" s="49">
        <v>105</v>
      </c>
      <c r="B106" s="50" t="s">
        <v>110</v>
      </c>
      <c r="C106" s="37">
        <v>0</v>
      </c>
      <c r="D106" s="38">
        <v>0</v>
      </c>
      <c r="E106" s="39">
        <v>0</v>
      </c>
      <c r="F106" s="40">
        <v>0</v>
      </c>
      <c r="G106" s="41">
        <v>0</v>
      </c>
      <c r="H106" s="42">
        <f t="shared" si="1"/>
        <v>0</v>
      </c>
      <c r="I106" s="52"/>
      <c r="J106" s="20"/>
      <c r="K106" s="20"/>
      <c r="L106" s="20"/>
      <c r="M106" s="20"/>
      <c r="N106" s="20"/>
    </row>
    <row r="107" spans="1:14" x14ac:dyDescent="0.25">
      <c r="A107" s="49">
        <v>106</v>
      </c>
      <c r="B107" s="50" t="s">
        <v>111</v>
      </c>
      <c r="C107" s="37">
        <v>0</v>
      </c>
      <c r="D107" s="38">
        <v>0</v>
      </c>
      <c r="E107" s="39">
        <v>0</v>
      </c>
      <c r="F107" s="40">
        <v>0</v>
      </c>
      <c r="G107" s="41">
        <v>0</v>
      </c>
      <c r="H107" s="42">
        <f t="shared" si="1"/>
        <v>0</v>
      </c>
      <c r="I107" s="52"/>
      <c r="J107" s="20"/>
      <c r="K107" s="20"/>
      <c r="L107" s="20"/>
      <c r="M107" s="20"/>
      <c r="N107" s="20"/>
    </row>
    <row r="108" spans="1:14" x14ac:dyDescent="0.25">
      <c r="A108" s="49">
        <v>107</v>
      </c>
      <c r="B108" s="50" t="s">
        <v>112</v>
      </c>
      <c r="C108" s="37">
        <v>0</v>
      </c>
      <c r="D108" s="38">
        <v>0</v>
      </c>
      <c r="E108" s="39">
        <v>0</v>
      </c>
      <c r="F108" s="40">
        <v>0</v>
      </c>
      <c r="G108" s="41">
        <v>0</v>
      </c>
      <c r="H108" s="42">
        <f t="shared" si="1"/>
        <v>0</v>
      </c>
      <c r="I108" s="52"/>
      <c r="J108" s="20"/>
      <c r="K108" s="20"/>
      <c r="L108" s="20"/>
      <c r="M108" s="20"/>
      <c r="N108" s="20"/>
    </row>
    <row r="109" spans="1:14" x14ac:dyDescent="0.25">
      <c r="A109" s="49">
        <v>108</v>
      </c>
      <c r="B109" s="50" t="s">
        <v>113</v>
      </c>
      <c r="C109" s="37">
        <v>0</v>
      </c>
      <c r="D109" s="38">
        <v>0</v>
      </c>
      <c r="E109" s="39">
        <v>0</v>
      </c>
      <c r="F109" s="40">
        <v>0</v>
      </c>
      <c r="G109" s="41">
        <v>0</v>
      </c>
      <c r="H109" s="42">
        <f t="shared" si="1"/>
        <v>0</v>
      </c>
      <c r="I109" s="52"/>
      <c r="J109" s="20"/>
      <c r="K109" s="20"/>
      <c r="L109" s="20"/>
      <c r="M109" s="20"/>
      <c r="N109" s="20"/>
    </row>
    <row r="110" spans="1:14" x14ac:dyDescent="0.25">
      <c r="A110" s="49">
        <v>109</v>
      </c>
      <c r="B110" s="50" t="s">
        <v>114</v>
      </c>
      <c r="C110" s="37">
        <v>0</v>
      </c>
      <c r="D110" s="38">
        <v>0</v>
      </c>
      <c r="E110" s="39">
        <v>0</v>
      </c>
      <c r="F110" s="40">
        <v>0</v>
      </c>
      <c r="G110" s="41">
        <v>0</v>
      </c>
      <c r="H110" s="42">
        <f t="shared" si="1"/>
        <v>0</v>
      </c>
      <c r="I110" s="52"/>
      <c r="J110" s="20"/>
      <c r="K110" s="20"/>
      <c r="L110" s="20"/>
      <c r="M110" s="20"/>
      <c r="N110" s="20"/>
    </row>
    <row r="111" spans="1:14" x14ac:dyDescent="0.25">
      <c r="A111" s="49">
        <v>110</v>
      </c>
      <c r="B111" s="50" t="s">
        <v>115</v>
      </c>
      <c r="C111" s="37">
        <v>0</v>
      </c>
      <c r="D111" s="38">
        <v>0</v>
      </c>
      <c r="E111" s="39">
        <v>0</v>
      </c>
      <c r="F111" s="40">
        <v>0</v>
      </c>
      <c r="G111" s="41">
        <v>0</v>
      </c>
      <c r="H111" s="42">
        <f t="shared" si="1"/>
        <v>0</v>
      </c>
      <c r="I111" s="52"/>
      <c r="J111" s="20"/>
      <c r="K111" s="20"/>
      <c r="L111" s="20"/>
      <c r="M111" s="20"/>
      <c r="N111" s="20"/>
    </row>
    <row r="112" spans="1:14" x14ac:dyDescent="0.25">
      <c r="A112" s="49">
        <v>111</v>
      </c>
      <c r="B112" s="50" t="s">
        <v>116</v>
      </c>
      <c r="C112" s="37">
        <v>0</v>
      </c>
      <c r="D112" s="38">
        <v>0</v>
      </c>
      <c r="E112" s="39">
        <v>0</v>
      </c>
      <c r="F112" s="40">
        <v>0</v>
      </c>
      <c r="G112" s="41">
        <v>0</v>
      </c>
      <c r="H112" s="42">
        <f t="shared" si="1"/>
        <v>0</v>
      </c>
      <c r="I112" s="52"/>
      <c r="J112" s="20"/>
      <c r="K112" s="20"/>
      <c r="L112" s="20"/>
      <c r="M112" s="20"/>
      <c r="N112" s="20"/>
    </row>
    <row r="113" spans="1:14" x14ac:dyDescent="0.25">
      <c r="A113" s="49">
        <v>112</v>
      </c>
      <c r="B113" s="50" t="s">
        <v>117</v>
      </c>
      <c r="C113" s="37">
        <v>0</v>
      </c>
      <c r="D113" s="38">
        <v>0</v>
      </c>
      <c r="E113" s="39">
        <v>0</v>
      </c>
      <c r="F113" s="40">
        <v>0</v>
      </c>
      <c r="G113" s="41">
        <v>0</v>
      </c>
      <c r="H113" s="42">
        <f t="shared" si="1"/>
        <v>0</v>
      </c>
      <c r="I113" s="52"/>
      <c r="J113" s="20"/>
      <c r="K113" s="20"/>
      <c r="L113" s="20"/>
      <c r="M113" s="20"/>
      <c r="N113" s="20"/>
    </row>
    <row r="114" spans="1:14" x14ac:dyDescent="0.25">
      <c r="A114" s="49">
        <v>113</v>
      </c>
      <c r="B114" s="50" t="s">
        <v>118</v>
      </c>
      <c r="C114" s="37">
        <v>0</v>
      </c>
      <c r="D114" s="38">
        <v>0</v>
      </c>
      <c r="E114" s="39">
        <v>0</v>
      </c>
      <c r="F114" s="40">
        <v>0</v>
      </c>
      <c r="G114" s="41">
        <v>0</v>
      </c>
      <c r="H114" s="42">
        <f t="shared" si="1"/>
        <v>0</v>
      </c>
      <c r="I114" s="52"/>
      <c r="J114" s="20"/>
      <c r="K114" s="20"/>
      <c r="L114" s="20"/>
      <c r="M114" s="20"/>
      <c r="N114" s="20"/>
    </row>
    <row r="115" spans="1:14" x14ac:dyDescent="0.25">
      <c r="A115" s="49">
        <v>114</v>
      </c>
      <c r="B115" s="50" t="s">
        <v>119</v>
      </c>
      <c r="C115" s="37">
        <v>0</v>
      </c>
      <c r="D115" s="38">
        <v>0</v>
      </c>
      <c r="E115" s="39">
        <v>0</v>
      </c>
      <c r="F115" s="40">
        <v>0</v>
      </c>
      <c r="G115" s="41">
        <v>0</v>
      </c>
      <c r="H115" s="42">
        <f t="shared" si="1"/>
        <v>0</v>
      </c>
      <c r="I115" s="52"/>
      <c r="J115" s="20"/>
      <c r="K115" s="20"/>
      <c r="L115" s="20"/>
      <c r="M115" s="20"/>
      <c r="N115" s="20"/>
    </row>
    <row r="116" spans="1:14" x14ac:dyDescent="0.25">
      <c r="A116" s="49">
        <v>115</v>
      </c>
      <c r="B116" s="50" t="s">
        <v>120</v>
      </c>
      <c r="C116" s="37">
        <v>0</v>
      </c>
      <c r="D116" s="38">
        <v>0</v>
      </c>
      <c r="E116" s="39">
        <v>0</v>
      </c>
      <c r="F116" s="40">
        <v>0</v>
      </c>
      <c r="G116" s="41">
        <v>0</v>
      </c>
      <c r="H116" s="42">
        <f t="shared" si="1"/>
        <v>0</v>
      </c>
      <c r="I116" s="52"/>
      <c r="J116" s="20"/>
      <c r="K116" s="20"/>
      <c r="L116" s="20"/>
      <c r="M116" s="20"/>
      <c r="N116" s="20"/>
    </row>
    <row r="117" spans="1:14" x14ac:dyDescent="0.25">
      <c r="A117" s="49">
        <v>116</v>
      </c>
      <c r="B117" s="50" t="s">
        <v>121</v>
      </c>
      <c r="C117" s="37">
        <v>0</v>
      </c>
      <c r="D117" s="38">
        <v>0</v>
      </c>
      <c r="E117" s="39">
        <v>0</v>
      </c>
      <c r="F117" s="40">
        <v>0</v>
      </c>
      <c r="G117" s="41">
        <v>0</v>
      </c>
      <c r="H117" s="42">
        <f t="shared" si="1"/>
        <v>0</v>
      </c>
      <c r="I117" s="52"/>
      <c r="J117" s="20"/>
      <c r="K117" s="20"/>
      <c r="L117" s="20"/>
      <c r="M117" s="20"/>
      <c r="N117" s="20"/>
    </row>
    <row r="118" spans="1:14" x14ac:dyDescent="0.25">
      <c r="A118" s="49">
        <v>117</v>
      </c>
      <c r="B118" s="50" t="s">
        <v>122</v>
      </c>
      <c r="C118" s="37">
        <v>0</v>
      </c>
      <c r="D118" s="38">
        <v>0</v>
      </c>
      <c r="E118" s="39">
        <v>0</v>
      </c>
      <c r="F118" s="40">
        <v>0</v>
      </c>
      <c r="G118" s="41">
        <v>0</v>
      </c>
      <c r="H118" s="42">
        <f t="shared" si="1"/>
        <v>0</v>
      </c>
      <c r="I118" s="52"/>
      <c r="J118" s="20"/>
      <c r="K118" s="20"/>
      <c r="L118" s="20"/>
      <c r="M118" s="20"/>
      <c r="N118" s="20"/>
    </row>
    <row r="119" spans="1:14" x14ac:dyDescent="0.25">
      <c r="A119" s="49">
        <v>118</v>
      </c>
      <c r="B119" s="50" t="s">
        <v>123</v>
      </c>
      <c r="C119" s="37">
        <v>0</v>
      </c>
      <c r="D119" s="38">
        <v>0</v>
      </c>
      <c r="E119" s="39">
        <v>0</v>
      </c>
      <c r="F119" s="40">
        <v>0</v>
      </c>
      <c r="G119" s="41">
        <v>0</v>
      </c>
      <c r="H119" s="42">
        <f t="shared" si="1"/>
        <v>0</v>
      </c>
      <c r="I119" s="52"/>
      <c r="J119" s="20"/>
      <c r="K119" s="20"/>
      <c r="L119" s="20"/>
      <c r="M119" s="20"/>
      <c r="N119" s="20"/>
    </row>
    <row r="120" spans="1:14" x14ac:dyDescent="0.25">
      <c r="A120" s="49">
        <v>119</v>
      </c>
      <c r="B120" s="50" t="s">
        <v>124</v>
      </c>
      <c r="C120" s="37">
        <v>0</v>
      </c>
      <c r="D120" s="38">
        <v>0</v>
      </c>
      <c r="E120" s="39">
        <v>0</v>
      </c>
      <c r="F120" s="40">
        <v>0.1902777777777778</v>
      </c>
      <c r="G120" s="41">
        <v>0</v>
      </c>
      <c r="H120" s="42">
        <f t="shared" si="1"/>
        <v>0.1902777777777778</v>
      </c>
      <c r="I120" s="52"/>
      <c r="J120" s="20"/>
      <c r="K120" s="20"/>
      <c r="L120" s="20"/>
      <c r="M120" s="20"/>
      <c r="N120" s="20"/>
    </row>
    <row r="121" spans="1:14" x14ac:dyDescent="0.25">
      <c r="A121" s="49">
        <v>120</v>
      </c>
      <c r="B121" s="50" t="s">
        <v>125</v>
      </c>
      <c r="C121" s="37">
        <v>0</v>
      </c>
      <c r="D121" s="38">
        <v>0</v>
      </c>
      <c r="E121" s="39">
        <v>0</v>
      </c>
      <c r="F121" s="40">
        <v>0</v>
      </c>
      <c r="G121" s="41">
        <v>0</v>
      </c>
      <c r="H121" s="42">
        <f t="shared" si="1"/>
        <v>0</v>
      </c>
      <c r="I121" s="52"/>
      <c r="J121" s="20"/>
      <c r="K121" s="20"/>
      <c r="L121" s="20"/>
      <c r="M121" s="20"/>
      <c r="N121" s="20"/>
    </row>
    <row r="122" spans="1:14" x14ac:dyDescent="0.25">
      <c r="A122" s="49">
        <v>121</v>
      </c>
      <c r="B122" s="50" t="s">
        <v>126</v>
      </c>
      <c r="C122" s="37">
        <v>0</v>
      </c>
      <c r="D122" s="38">
        <v>0</v>
      </c>
      <c r="E122" s="39">
        <v>0</v>
      </c>
      <c r="F122" s="40">
        <v>0</v>
      </c>
      <c r="G122" s="41">
        <v>0</v>
      </c>
      <c r="H122" s="42">
        <f t="shared" si="1"/>
        <v>0</v>
      </c>
      <c r="I122" s="52"/>
      <c r="J122" s="20"/>
      <c r="K122" s="20"/>
      <c r="L122" s="20"/>
      <c r="M122" s="20"/>
      <c r="N122" s="20"/>
    </row>
    <row r="123" spans="1:14" x14ac:dyDescent="0.25">
      <c r="A123" s="49">
        <v>122</v>
      </c>
      <c r="B123" s="50" t="s">
        <v>127</v>
      </c>
      <c r="C123" s="37">
        <v>0</v>
      </c>
      <c r="D123" s="38">
        <v>0</v>
      </c>
      <c r="E123" s="39">
        <v>0</v>
      </c>
      <c r="F123" s="40">
        <v>8.0555555555555561E-2</v>
      </c>
      <c r="G123" s="41">
        <v>0</v>
      </c>
      <c r="H123" s="42">
        <f t="shared" si="1"/>
        <v>8.0555555555555561E-2</v>
      </c>
      <c r="I123" s="52"/>
      <c r="J123" s="20"/>
      <c r="K123" s="20"/>
      <c r="L123" s="20"/>
      <c r="M123" s="20"/>
      <c r="N123" s="20"/>
    </row>
    <row r="124" spans="1:14" x14ac:dyDescent="0.25">
      <c r="A124" s="49">
        <v>123</v>
      </c>
      <c r="B124" s="50" t="s">
        <v>128</v>
      </c>
      <c r="C124" s="37">
        <v>0</v>
      </c>
      <c r="D124" s="38">
        <v>0</v>
      </c>
      <c r="E124" s="39">
        <v>0</v>
      </c>
      <c r="F124" s="40">
        <v>0</v>
      </c>
      <c r="G124" s="41">
        <v>0</v>
      </c>
      <c r="H124" s="42">
        <f t="shared" si="1"/>
        <v>0</v>
      </c>
      <c r="I124" s="52"/>
      <c r="J124" s="20"/>
      <c r="K124" s="20"/>
      <c r="L124" s="20"/>
      <c r="M124" s="20"/>
      <c r="N124" s="20"/>
    </row>
    <row r="125" spans="1:14" x14ac:dyDescent="0.25">
      <c r="A125" s="49">
        <v>124</v>
      </c>
      <c r="B125" s="50" t="s">
        <v>129</v>
      </c>
      <c r="C125" s="37">
        <v>0</v>
      </c>
      <c r="D125" s="38">
        <v>0</v>
      </c>
      <c r="E125" s="39">
        <v>0</v>
      </c>
      <c r="F125" s="40">
        <v>0</v>
      </c>
      <c r="G125" s="41">
        <v>0</v>
      </c>
      <c r="H125" s="42">
        <f t="shared" si="1"/>
        <v>0</v>
      </c>
      <c r="I125" s="52"/>
      <c r="J125" s="20"/>
      <c r="K125" s="20"/>
      <c r="L125" s="20"/>
      <c r="M125" s="20"/>
      <c r="N125" s="20"/>
    </row>
    <row r="126" spans="1:14" x14ac:dyDescent="0.25">
      <c r="A126" s="49">
        <v>125</v>
      </c>
      <c r="B126" s="50" t="s">
        <v>130</v>
      </c>
      <c r="C126" s="37">
        <v>0</v>
      </c>
      <c r="D126" s="38">
        <v>0</v>
      </c>
      <c r="E126" s="39">
        <v>0</v>
      </c>
      <c r="F126" s="40">
        <v>0</v>
      </c>
      <c r="G126" s="41">
        <v>0</v>
      </c>
      <c r="H126" s="42">
        <f t="shared" si="1"/>
        <v>0</v>
      </c>
      <c r="I126" s="52"/>
      <c r="J126" s="20"/>
      <c r="K126" s="20"/>
      <c r="L126" s="20"/>
      <c r="M126" s="20"/>
      <c r="N126" s="20"/>
    </row>
    <row r="127" spans="1:14" x14ac:dyDescent="0.25">
      <c r="A127" s="49">
        <v>126</v>
      </c>
      <c r="B127" s="50" t="s">
        <v>131</v>
      </c>
      <c r="C127" s="37">
        <v>0</v>
      </c>
      <c r="D127" s="38">
        <v>0</v>
      </c>
      <c r="E127" s="39">
        <v>0</v>
      </c>
      <c r="F127" s="40">
        <v>0</v>
      </c>
      <c r="G127" s="41">
        <v>0</v>
      </c>
      <c r="H127" s="42">
        <f t="shared" si="1"/>
        <v>0</v>
      </c>
      <c r="I127" s="52"/>
      <c r="J127" s="20"/>
      <c r="K127" s="20"/>
      <c r="L127" s="20"/>
      <c r="M127" s="20"/>
      <c r="N127" s="20"/>
    </row>
    <row r="128" spans="1:14" x14ac:dyDescent="0.25">
      <c r="A128" s="49">
        <v>127</v>
      </c>
      <c r="B128" s="50" t="s">
        <v>132</v>
      </c>
      <c r="C128" s="37">
        <v>0</v>
      </c>
      <c r="D128" s="38">
        <v>0</v>
      </c>
      <c r="E128" s="39">
        <v>0</v>
      </c>
      <c r="F128" s="40">
        <v>2.777777777777778E-2</v>
      </c>
      <c r="G128" s="41">
        <v>0</v>
      </c>
      <c r="H128" s="42">
        <f t="shared" si="1"/>
        <v>2.777777777777778E-2</v>
      </c>
      <c r="I128" s="52"/>
      <c r="J128" s="20"/>
      <c r="K128" s="20"/>
      <c r="L128" s="20"/>
      <c r="M128" s="20"/>
      <c r="N128" s="20"/>
    </row>
    <row r="129" spans="1:14" x14ac:dyDescent="0.25">
      <c r="A129" s="49">
        <v>128</v>
      </c>
      <c r="B129" s="50" t="s">
        <v>133</v>
      </c>
      <c r="C129" s="37">
        <v>0</v>
      </c>
      <c r="D129" s="38">
        <v>0</v>
      </c>
      <c r="E129" s="39">
        <v>0</v>
      </c>
      <c r="F129" s="40">
        <v>0.12638888888888891</v>
      </c>
      <c r="G129" s="41">
        <v>0</v>
      </c>
      <c r="H129" s="42">
        <f t="shared" si="1"/>
        <v>0.12638888888888891</v>
      </c>
      <c r="I129" s="52"/>
      <c r="J129" s="20"/>
      <c r="K129" s="20"/>
      <c r="L129" s="20"/>
      <c r="M129" s="20"/>
      <c r="N129" s="20"/>
    </row>
    <row r="130" spans="1:14" x14ac:dyDescent="0.25">
      <c r="A130" s="49">
        <v>129</v>
      </c>
      <c r="B130" s="50" t="s">
        <v>134</v>
      </c>
      <c r="C130" s="37">
        <v>0</v>
      </c>
      <c r="D130" s="38">
        <v>0</v>
      </c>
      <c r="E130" s="39">
        <v>0</v>
      </c>
      <c r="F130" s="40">
        <v>0</v>
      </c>
      <c r="G130" s="41">
        <v>0</v>
      </c>
      <c r="H130" s="42">
        <f t="shared" ref="H130:H193" si="2">SUM(C130:G130)</f>
        <v>0</v>
      </c>
      <c r="I130" s="52"/>
      <c r="J130" s="20"/>
      <c r="K130" s="20"/>
      <c r="L130" s="20"/>
      <c r="M130" s="20"/>
      <c r="N130" s="20"/>
    </row>
    <row r="131" spans="1:14" x14ac:dyDescent="0.25">
      <c r="A131" s="49">
        <v>130</v>
      </c>
      <c r="B131" s="50" t="s">
        <v>135</v>
      </c>
      <c r="C131" s="37">
        <v>0</v>
      </c>
      <c r="D131" s="38">
        <v>0</v>
      </c>
      <c r="E131" s="39">
        <v>0</v>
      </c>
      <c r="F131" s="40">
        <v>0.27777777777777785</v>
      </c>
      <c r="G131" s="41">
        <v>0</v>
      </c>
      <c r="H131" s="42">
        <f t="shared" si="2"/>
        <v>0.27777777777777785</v>
      </c>
      <c r="I131" s="52"/>
      <c r="J131" s="20"/>
      <c r="K131" s="20"/>
      <c r="L131" s="20"/>
      <c r="M131" s="20"/>
      <c r="N131" s="20"/>
    </row>
    <row r="132" spans="1:14" x14ac:dyDescent="0.25">
      <c r="A132" s="49">
        <v>131</v>
      </c>
      <c r="B132" s="50" t="s">
        <v>136</v>
      </c>
      <c r="C132" s="37">
        <v>0</v>
      </c>
      <c r="D132" s="38">
        <v>0</v>
      </c>
      <c r="E132" s="39">
        <v>0</v>
      </c>
      <c r="F132" s="40">
        <v>0.3041666666666667</v>
      </c>
      <c r="G132" s="41">
        <v>0</v>
      </c>
      <c r="H132" s="42">
        <f t="shared" si="2"/>
        <v>0.3041666666666667</v>
      </c>
      <c r="I132" s="52"/>
      <c r="J132" s="20"/>
      <c r="K132" s="20"/>
      <c r="L132" s="20"/>
      <c r="M132" s="20"/>
      <c r="N132" s="20"/>
    </row>
    <row r="133" spans="1:14" x14ac:dyDescent="0.25">
      <c r="A133" s="49">
        <v>132</v>
      </c>
      <c r="B133" s="50" t="s">
        <v>137</v>
      </c>
      <c r="C133" s="37">
        <v>12.5</v>
      </c>
      <c r="D133" s="38">
        <v>10.766666666666667</v>
      </c>
      <c r="E133" s="39">
        <v>25</v>
      </c>
      <c r="F133" s="40">
        <v>0.21250000000000002</v>
      </c>
      <c r="G133" s="41">
        <v>10.766666666666667</v>
      </c>
      <c r="H133" s="42">
        <f t="shared" si="2"/>
        <v>59.24583333333333</v>
      </c>
      <c r="I133" s="52"/>
      <c r="J133" s="20"/>
      <c r="K133" s="20"/>
      <c r="L133" s="20"/>
      <c r="M133" s="20"/>
      <c r="N133" s="20"/>
    </row>
    <row r="134" spans="1:14" x14ac:dyDescent="0.25">
      <c r="A134" s="49">
        <v>133</v>
      </c>
      <c r="B134" s="50" t="s">
        <v>138</v>
      </c>
      <c r="C134" s="37">
        <v>11.366666666666667</v>
      </c>
      <c r="D134" s="38">
        <v>12.333333333333336</v>
      </c>
      <c r="E134" s="39">
        <v>22.733333333333334</v>
      </c>
      <c r="F134" s="40">
        <v>0.52222222222222237</v>
      </c>
      <c r="G134" s="41">
        <v>12.333333333333336</v>
      </c>
      <c r="H134" s="42">
        <f t="shared" si="2"/>
        <v>59.288888888888899</v>
      </c>
      <c r="I134" s="52"/>
      <c r="J134" s="20"/>
      <c r="K134" s="20"/>
      <c r="L134" s="20"/>
      <c r="M134" s="20"/>
      <c r="N134" s="20"/>
    </row>
    <row r="135" spans="1:14" x14ac:dyDescent="0.25">
      <c r="A135" s="49">
        <v>134</v>
      </c>
      <c r="B135" s="50" t="s">
        <v>139</v>
      </c>
      <c r="C135" s="37">
        <v>7.7</v>
      </c>
      <c r="D135" s="38">
        <v>5.6000000000000014</v>
      </c>
      <c r="E135" s="39">
        <v>15.4</v>
      </c>
      <c r="F135" s="40">
        <v>0.48194444444444451</v>
      </c>
      <c r="G135" s="41">
        <v>5.6000000000000014</v>
      </c>
      <c r="H135" s="42">
        <f t="shared" si="2"/>
        <v>34.781944444444449</v>
      </c>
      <c r="I135" s="52"/>
      <c r="J135" s="20"/>
      <c r="K135" s="20"/>
      <c r="L135" s="20"/>
      <c r="M135" s="20"/>
      <c r="N135" s="20"/>
    </row>
    <row r="136" spans="1:14" x14ac:dyDescent="0.25">
      <c r="A136" s="49">
        <v>135</v>
      </c>
      <c r="B136" s="50" t="s">
        <v>140</v>
      </c>
      <c r="C136" s="37">
        <v>7.6666666666666679</v>
      </c>
      <c r="D136" s="38">
        <v>3.333333333333333</v>
      </c>
      <c r="E136" s="39">
        <v>15.333333333333336</v>
      </c>
      <c r="F136" s="40">
        <v>0.31527777777777782</v>
      </c>
      <c r="G136" s="41">
        <v>3.333333333333333</v>
      </c>
      <c r="H136" s="42">
        <f t="shared" si="2"/>
        <v>29.981944444444444</v>
      </c>
      <c r="I136" s="52"/>
      <c r="J136" s="20"/>
      <c r="K136" s="20"/>
      <c r="L136" s="20"/>
      <c r="M136" s="20"/>
      <c r="N136" s="20"/>
    </row>
    <row r="137" spans="1:14" x14ac:dyDescent="0.25">
      <c r="A137" s="49">
        <v>136</v>
      </c>
      <c r="B137" s="50" t="s">
        <v>141</v>
      </c>
      <c r="C137" s="37">
        <v>9.4666666666666668</v>
      </c>
      <c r="D137" s="38">
        <v>10.866666666666667</v>
      </c>
      <c r="E137" s="39">
        <v>18.933333333333334</v>
      </c>
      <c r="F137" s="40">
        <v>0.45</v>
      </c>
      <c r="G137" s="41">
        <v>10.866666666666667</v>
      </c>
      <c r="H137" s="42">
        <f t="shared" si="2"/>
        <v>50.583333333333336</v>
      </c>
      <c r="I137" s="52"/>
      <c r="J137" s="20"/>
      <c r="K137" s="20"/>
      <c r="L137" s="20"/>
      <c r="M137" s="20"/>
      <c r="N137" s="20"/>
    </row>
    <row r="138" spans="1:14" x14ac:dyDescent="0.25">
      <c r="A138" s="49">
        <v>137</v>
      </c>
      <c r="B138" s="50" t="s">
        <v>142</v>
      </c>
      <c r="C138" s="37">
        <v>16.833333333333336</v>
      </c>
      <c r="D138" s="38">
        <v>18.5</v>
      </c>
      <c r="E138" s="39">
        <v>33.666666666666671</v>
      </c>
      <c r="F138" s="40">
        <v>0.46527777777777779</v>
      </c>
      <c r="G138" s="41">
        <v>18.5</v>
      </c>
      <c r="H138" s="42">
        <f t="shared" si="2"/>
        <v>87.965277777777771</v>
      </c>
      <c r="I138" s="52"/>
      <c r="J138" s="20"/>
      <c r="K138" s="20"/>
      <c r="L138" s="20"/>
      <c r="M138" s="20"/>
      <c r="N138" s="20"/>
    </row>
    <row r="139" spans="1:14" x14ac:dyDescent="0.25">
      <c r="A139" s="49">
        <v>138</v>
      </c>
      <c r="B139" s="50" t="s">
        <v>143</v>
      </c>
      <c r="C139" s="37">
        <v>9.1333333333333329</v>
      </c>
      <c r="D139" s="38">
        <v>15.733333333333333</v>
      </c>
      <c r="E139" s="39">
        <v>18.266666666666666</v>
      </c>
      <c r="F139" s="40">
        <v>0.70416666666666672</v>
      </c>
      <c r="G139" s="41">
        <v>15.733333333333333</v>
      </c>
      <c r="H139" s="42">
        <f t="shared" si="2"/>
        <v>59.570833333333333</v>
      </c>
      <c r="I139" s="52"/>
      <c r="J139" s="20"/>
      <c r="K139" s="20"/>
      <c r="L139" s="20"/>
      <c r="M139" s="20"/>
      <c r="N139" s="20"/>
    </row>
    <row r="140" spans="1:14" x14ac:dyDescent="0.25">
      <c r="A140" s="49">
        <v>139</v>
      </c>
      <c r="B140" s="50" t="s">
        <v>144</v>
      </c>
      <c r="C140" s="37">
        <v>9.9333333333333336</v>
      </c>
      <c r="D140" s="38">
        <v>11.033333333333333</v>
      </c>
      <c r="E140" s="39">
        <v>19.866666666666667</v>
      </c>
      <c r="F140" s="40">
        <v>0.49444444444444446</v>
      </c>
      <c r="G140" s="41">
        <v>11.033333333333333</v>
      </c>
      <c r="H140" s="42">
        <f t="shared" si="2"/>
        <v>52.361111111111114</v>
      </c>
      <c r="I140" s="52"/>
      <c r="J140" s="20"/>
      <c r="K140" s="20"/>
      <c r="L140" s="20"/>
      <c r="M140" s="20"/>
      <c r="N140" s="20"/>
    </row>
    <row r="141" spans="1:14" x14ac:dyDescent="0.25">
      <c r="A141" s="49">
        <v>140</v>
      </c>
      <c r="B141" s="50" t="s">
        <v>145</v>
      </c>
      <c r="C141" s="37">
        <v>7.4</v>
      </c>
      <c r="D141" s="38">
        <v>5.2666666666666666</v>
      </c>
      <c r="E141" s="39">
        <v>14.8</v>
      </c>
      <c r="F141" s="40">
        <v>0.53055555555555556</v>
      </c>
      <c r="G141" s="41">
        <v>5.2666666666666666</v>
      </c>
      <c r="H141" s="42">
        <f t="shared" si="2"/>
        <v>33.263888888888893</v>
      </c>
      <c r="I141" s="52"/>
      <c r="J141" s="20"/>
      <c r="K141" s="20"/>
      <c r="L141" s="20"/>
      <c r="M141" s="20"/>
      <c r="N141" s="20"/>
    </row>
    <row r="142" spans="1:14" x14ac:dyDescent="0.25">
      <c r="A142" s="49">
        <v>141</v>
      </c>
      <c r="B142" s="50" t="s">
        <v>146</v>
      </c>
      <c r="C142" s="37">
        <v>13.666666666666666</v>
      </c>
      <c r="D142" s="38">
        <v>13.633333333333333</v>
      </c>
      <c r="E142" s="39">
        <v>27.333333333333332</v>
      </c>
      <c r="F142" s="40">
        <v>0.48611111111111116</v>
      </c>
      <c r="G142" s="41">
        <v>13.633333333333333</v>
      </c>
      <c r="H142" s="42">
        <f t="shared" si="2"/>
        <v>68.752777777777766</v>
      </c>
      <c r="I142" s="52"/>
      <c r="J142" s="20"/>
      <c r="K142" s="20"/>
      <c r="L142" s="20"/>
      <c r="M142" s="20"/>
      <c r="N142" s="20"/>
    </row>
    <row r="143" spans="1:14" x14ac:dyDescent="0.25">
      <c r="A143" s="49">
        <v>142</v>
      </c>
      <c r="B143" s="50" t="s">
        <v>147</v>
      </c>
      <c r="C143" s="37">
        <v>8.3000000000000007</v>
      </c>
      <c r="D143" s="38">
        <v>17.733333333333334</v>
      </c>
      <c r="E143" s="39">
        <v>16.600000000000001</v>
      </c>
      <c r="F143" s="40">
        <v>0.4</v>
      </c>
      <c r="G143" s="41">
        <v>17.733333333333334</v>
      </c>
      <c r="H143" s="42">
        <f t="shared" si="2"/>
        <v>60.766666666666673</v>
      </c>
      <c r="I143" s="52"/>
      <c r="J143" s="20"/>
      <c r="K143" s="20"/>
      <c r="L143" s="20"/>
      <c r="M143" s="20"/>
      <c r="N143" s="20"/>
    </row>
    <row r="144" spans="1:14" x14ac:dyDescent="0.25">
      <c r="A144" s="49">
        <v>143</v>
      </c>
      <c r="B144" s="50" t="s">
        <v>148</v>
      </c>
      <c r="C144" s="37">
        <v>12.133333333333335</v>
      </c>
      <c r="D144" s="38">
        <v>15.066666666666666</v>
      </c>
      <c r="E144" s="39">
        <v>24.266666666666669</v>
      </c>
      <c r="F144" s="40">
        <v>0.71250000000000013</v>
      </c>
      <c r="G144" s="41">
        <v>15.066666666666666</v>
      </c>
      <c r="H144" s="42">
        <f t="shared" si="2"/>
        <v>67.245833333333337</v>
      </c>
      <c r="I144" s="52"/>
      <c r="J144" s="20"/>
      <c r="K144" s="20"/>
      <c r="L144" s="20"/>
      <c r="M144" s="20"/>
      <c r="N144" s="20"/>
    </row>
    <row r="145" spans="1:14" x14ac:dyDescent="0.25">
      <c r="A145" s="49">
        <v>144</v>
      </c>
      <c r="B145" s="50" t="s">
        <v>149</v>
      </c>
      <c r="C145" s="37">
        <v>9.1666666666666661</v>
      </c>
      <c r="D145" s="38">
        <v>6.6000000000000005</v>
      </c>
      <c r="E145" s="39">
        <v>18.333333333333332</v>
      </c>
      <c r="F145" s="40">
        <v>0.49861111111111117</v>
      </c>
      <c r="G145" s="41">
        <v>6.6000000000000005</v>
      </c>
      <c r="H145" s="42">
        <f t="shared" si="2"/>
        <v>41.198611111111106</v>
      </c>
      <c r="I145" s="52"/>
      <c r="J145" s="20"/>
      <c r="K145" s="20"/>
      <c r="L145" s="20"/>
      <c r="M145" s="20"/>
      <c r="N145" s="20"/>
    </row>
    <row r="146" spans="1:14" x14ac:dyDescent="0.25">
      <c r="A146" s="49">
        <v>145</v>
      </c>
      <c r="B146" s="50" t="s">
        <v>150</v>
      </c>
      <c r="C146" s="37">
        <v>9.9</v>
      </c>
      <c r="D146" s="38">
        <v>10.133333333333335</v>
      </c>
      <c r="E146" s="39">
        <v>19.8</v>
      </c>
      <c r="F146" s="40">
        <v>0.29722222222222222</v>
      </c>
      <c r="G146" s="41">
        <v>10.133333333333335</v>
      </c>
      <c r="H146" s="42">
        <f t="shared" si="2"/>
        <v>50.263888888888893</v>
      </c>
      <c r="I146" s="52"/>
      <c r="J146" s="20"/>
      <c r="K146" s="20"/>
      <c r="L146" s="20"/>
      <c r="M146" s="20"/>
      <c r="N146" s="20"/>
    </row>
    <row r="147" spans="1:14" x14ac:dyDescent="0.25">
      <c r="A147" s="49">
        <v>146</v>
      </c>
      <c r="B147" s="50" t="s">
        <v>151</v>
      </c>
      <c r="C147" s="37">
        <v>9.8666666666666671</v>
      </c>
      <c r="D147" s="38">
        <v>12.100000000000001</v>
      </c>
      <c r="E147" s="39">
        <v>19.733333333333334</v>
      </c>
      <c r="F147" s="40">
        <v>0.48750000000000004</v>
      </c>
      <c r="G147" s="41">
        <v>12.100000000000001</v>
      </c>
      <c r="H147" s="42">
        <f t="shared" si="2"/>
        <v>54.287500000000001</v>
      </c>
      <c r="I147" s="52"/>
      <c r="J147" s="20"/>
      <c r="K147" s="20"/>
      <c r="L147" s="20"/>
      <c r="M147" s="20"/>
      <c r="N147" s="20"/>
    </row>
    <row r="148" spans="1:14" x14ac:dyDescent="0.25">
      <c r="A148" s="49">
        <v>147</v>
      </c>
      <c r="B148" s="50" t="s">
        <v>152</v>
      </c>
      <c r="C148" s="37">
        <v>9.3666666666666671</v>
      </c>
      <c r="D148" s="38">
        <v>3.9666666666666668</v>
      </c>
      <c r="E148" s="39">
        <v>18.733333333333334</v>
      </c>
      <c r="F148" s="40">
        <v>0.42083333333333339</v>
      </c>
      <c r="G148" s="41">
        <v>3.9666666666666668</v>
      </c>
      <c r="H148" s="42">
        <f t="shared" si="2"/>
        <v>36.454166666666673</v>
      </c>
      <c r="I148" s="52"/>
      <c r="J148" s="20"/>
      <c r="K148" s="20"/>
      <c r="L148" s="20"/>
      <c r="M148" s="20"/>
      <c r="N148" s="20"/>
    </row>
    <row r="149" spans="1:14" x14ac:dyDescent="0.25">
      <c r="A149" s="49">
        <v>148</v>
      </c>
      <c r="B149" s="50" t="s">
        <v>153</v>
      </c>
      <c r="C149" s="37">
        <v>9.3666666666666671</v>
      </c>
      <c r="D149" s="38">
        <v>9.6000000000000014</v>
      </c>
      <c r="E149" s="39">
        <v>18.733333333333334</v>
      </c>
      <c r="F149" s="40">
        <v>0.40277777777777779</v>
      </c>
      <c r="G149" s="41">
        <v>9.6000000000000014</v>
      </c>
      <c r="H149" s="42">
        <f t="shared" si="2"/>
        <v>47.702777777777783</v>
      </c>
      <c r="I149" s="52"/>
      <c r="J149" s="20"/>
      <c r="K149" s="20"/>
      <c r="L149" s="20"/>
      <c r="M149" s="20"/>
      <c r="N149" s="20"/>
    </row>
    <row r="150" spans="1:14" x14ac:dyDescent="0.25">
      <c r="A150" s="49">
        <v>149</v>
      </c>
      <c r="B150" s="50" t="s">
        <v>154</v>
      </c>
      <c r="C150" s="37">
        <v>7.6000000000000005</v>
      </c>
      <c r="D150" s="38">
        <v>17.7</v>
      </c>
      <c r="E150" s="39">
        <v>15.200000000000001</v>
      </c>
      <c r="F150" s="40">
        <v>0.33055555555555555</v>
      </c>
      <c r="G150" s="41">
        <v>17.7</v>
      </c>
      <c r="H150" s="42">
        <f t="shared" si="2"/>
        <v>58.530555555555551</v>
      </c>
      <c r="I150" s="52"/>
      <c r="J150" s="20"/>
      <c r="K150" s="20"/>
      <c r="L150" s="20"/>
      <c r="M150" s="20"/>
      <c r="N150" s="20"/>
    </row>
    <row r="151" spans="1:14" x14ac:dyDescent="0.25">
      <c r="A151" s="49">
        <v>150</v>
      </c>
      <c r="B151" s="50" t="s">
        <v>155</v>
      </c>
      <c r="C151" s="37">
        <v>11.466666666666669</v>
      </c>
      <c r="D151" s="38">
        <v>12.600000000000001</v>
      </c>
      <c r="E151" s="39">
        <v>22.933333333333337</v>
      </c>
      <c r="F151" s="40">
        <v>0.4333333333333334</v>
      </c>
      <c r="G151" s="41">
        <v>12.600000000000001</v>
      </c>
      <c r="H151" s="42">
        <f t="shared" si="2"/>
        <v>60.033333333333339</v>
      </c>
      <c r="I151" s="52"/>
      <c r="J151" s="20"/>
      <c r="K151" s="20"/>
      <c r="L151" s="20"/>
      <c r="M151" s="20"/>
      <c r="N151" s="20"/>
    </row>
    <row r="152" spans="1:14" x14ac:dyDescent="0.25">
      <c r="A152" s="49">
        <v>151</v>
      </c>
      <c r="B152" s="50" t="s">
        <v>156</v>
      </c>
      <c r="C152" s="37">
        <v>6.2333333333333334</v>
      </c>
      <c r="D152" s="38">
        <v>0</v>
      </c>
      <c r="E152" s="39">
        <v>12.466666666666667</v>
      </c>
      <c r="F152" s="40">
        <v>0.54166666666666685</v>
      </c>
      <c r="G152" s="41">
        <v>0</v>
      </c>
      <c r="H152" s="42">
        <f t="shared" si="2"/>
        <v>19.241666666666667</v>
      </c>
      <c r="I152" s="52"/>
      <c r="J152" s="20"/>
      <c r="K152" s="20"/>
      <c r="L152" s="20"/>
      <c r="M152" s="20"/>
      <c r="N152" s="20"/>
    </row>
    <row r="153" spans="1:14" x14ac:dyDescent="0.25">
      <c r="A153" s="49">
        <v>152</v>
      </c>
      <c r="B153" s="50" t="s">
        <v>157</v>
      </c>
      <c r="C153" s="37">
        <v>11.533333333333333</v>
      </c>
      <c r="D153" s="38">
        <v>8.5666666666666682</v>
      </c>
      <c r="E153" s="39">
        <v>23.066666666666666</v>
      </c>
      <c r="F153" s="40">
        <v>0.31666666666666665</v>
      </c>
      <c r="G153" s="41">
        <v>8.5666666666666682</v>
      </c>
      <c r="H153" s="42">
        <f t="shared" si="2"/>
        <v>52.050000000000011</v>
      </c>
      <c r="I153" s="52"/>
      <c r="J153" s="20"/>
      <c r="K153" s="20"/>
      <c r="L153" s="20"/>
      <c r="M153" s="20"/>
      <c r="N153" s="20"/>
    </row>
    <row r="154" spans="1:14" x14ac:dyDescent="0.25">
      <c r="A154" s="49">
        <v>153</v>
      </c>
      <c r="B154" s="50" t="s">
        <v>158</v>
      </c>
      <c r="C154" s="37">
        <v>10.466666666666667</v>
      </c>
      <c r="D154" s="38">
        <v>12.766666666666666</v>
      </c>
      <c r="E154" s="39">
        <v>20.933333333333334</v>
      </c>
      <c r="F154" s="40">
        <v>0.56388888888888899</v>
      </c>
      <c r="G154" s="41">
        <v>12.766666666666666</v>
      </c>
      <c r="H154" s="42">
        <f t="shared" si="2"/>
        <v>57.497222222222227</v>
      </c>
      <c r="I154" s="52"/>
      <c r="J154" s="20"/>
      <c r="K154" s="20"/>
      <c r="L154" s="20"/>
      <c r="M154" s="20"/>
      <c r="N154" s="20"/>
    </row>
    <row r="155" spans="1:14" x14ac:dyDescent="0.25">
      <c r="A155" s="49">
        <v>154</v>
      </c>
      <c r="B155" s="50" t="s">
        <v>159</v>
      </c>
      <c r="C155" s="37">
        <v>0</v>
      </c>
      <c r="D155" s="38">
        <v>7.6666666666666679</v>
      </c>
      <c r="E155" s="39">
        <v>0</v>
      </c>
      <c r="F155" s="40">
        <v>0.46250000000000002</v>
      </c>
      <c r="G155" s="41">
        <v>7.6666666666666679</v>
      </c>
      <c r="H155" s="42">
        <f t="shared" si="2"/>
        <v>15.795833333333336</v>
      </c>
      <c r="I155" s="52"/>
      <c r="J155" s="20"/>
      <c r="K155" s="20"/>
      <c r="L155" s="20"/>
      <c r="M155" s="20"/>
      <c r="N155" s="20"/>
    </row>
    <row r="156" spans="1:14" x14ac:dyDescent="0.25">
      <c r="A156" s="49">
        <v>155</v>
      </c>
      <c r="B156" s="50" t="s">
        <v>160</v>
      </c>
      <c r="C156" s="37">
        <v>10.4</v>
      </c>
      <c r="D156" s="38">
        <v>7.0666666666666673</v>
      </c>
      <c r="E156" s="39">
        <v>20.8</v>
      </c>
      <c r="F156" s="40">
        <v>0.59861111111111109</v>
      </c>
      <c r="G156" s="41">
        <v>7.0666666666666673</v>
      </c>
      <c r="H156" s="42">
        <f t="shared" si="2"/>
        <v>45.931944444444447</v>
      </c>
      <c r="I156" s="52"/>
      <c r="J156" s="20"/>
      <c r="K156" s="20"/>
      <c r="L156" s="20"/>
      <c r="M156" s="20"/>
      <c r="N156" s="20"/>
    </row>
    <row r="157" spans="1:14" x14ac:dyDescent="0.25">
      <c r="A157" s="49">
        <v>156</v>
      </c>
      <c r="B157" s="50" t="s">
        <v>161</v>
      </c>
      <c r="C157" s="37">
        <v>8.9666666666666668</v>
      </c>
      <c r="D157" s="38">
        <v>4.9000000000000004</v>
      </c>
      <c r="E157" s="39">
        <v>17.933333333333334</v>
      </c>
      <c r="F157" s="40">
        <v>0.62222222222222223</v>
      </c>
      <c r="G157" s="41">
        <v>4.9000000000000004</v>
      </c>
      <c r="H157" s="42">
        <f t="shared" si="2"/>
        <v>37.322222222222223</v>
      </c>
      <c r="I157" s="52"/>
      <c r="J157" s="20"/>
      <c r="K157" s="20"/>
      <c r="L157" s="20"/>
      <c r="M157" s="20"/>
      <c r="N157" s="20"/>
    </row>
    <row r="158" spans="1:14" x14ac:dyDescent="0.25">
      <c r="A158" s="49">
        <v>157</v>
      </c>
      <c r="B158" s="50" t="s">
        <v>162</v>
      </c>
      <c r="C158" s="37">
        <v>13.033333333333331</v>
      </c>
      <c r="D158" s="38">
        <v>17.433333333333334</v>
      </c>
      <c r="E158" s="39">
        <v>26.066666666666663</v>
      </c>
      <c r="F158" s="40">
        <v>0.27638888888888891</v>
      </c>
      <c r="G158" s="41">
        <v>17.433333333333334</v>
      </c>
      <c r="H158" s="42">
        <f t="shared" si="2"/>
        <v>74.243055555555557</v>
      </c>
      <c r="I158" s="52"/>
      <c r="J158" s="20"/>
      <c r="K158" s="20"/>
      <c r="L158" s="20"/>
      <c r="M158" s="20"/>
      <c r="N158" s="20"/>
    </row>
    <row r="159" spans="1:14" x14ac:dyDescent="0.25">
      <c r="A159" s="49">
        <v>158</v>
      </c>
      <c r="B159" s="50" t="s">
        <v>163</v>
      </c>
      <c r="C159" s="37">
        <v>10.333333333333336</v>
      </c>
      <c r="D159" s="38">
        <v>13.833333333333336</v>
      </c>
      <c r="E159" s="39">
        <v>20.666666666666671</v>
      </c>
      <c r="F159" s="40">
        <v>0.58472222222222225</v>
      </c>
      <c r="G159" s="41">
        <v>13.833333333333336</v>
      </c>
      <c r="H159" s="42">
        <f t="shared" si="2"/>
        <v>59.251388888888904</v>
      </c>
      <c r="I159" s="52"/>
      <c r="J159" s="20"/>
      <c r="K159" s="20"/>
      <c r="L159" s="20"/>
      <c r="M159" s="20"/>
      <c r="N159" s="20"/>
    </row>
    <row r="160" spans="1:14" x14ac:dyDescent="0.25">
      <c r="A160" s="49">
        <v>159</v>
      </c>
      <c r="B160" s="50" t="s">
        <v>164</v>
      </c>
      <c r="C160" s="37">
        <v>4.7333333333333334</v>
      </c>
      <c r="D160" s="38">
        <v>12.833333333333336</v>
      </c>
      <c r="E160" s="39">
        <v>9.4666666666666668</v>
      </c>
      <c r="F160" s="40">
        <v>0.54305555555555551</v>
      </c>
      <c r="G160" s="41">
        <v>12.833333333333336</v>
      </c>
      <c r="H160" s="42">
        <f t="shared" si="2"/>
        <v>40.409722222222229</v>
      </c>
      <c r="I160" s="52"/>
      <c r="J160" s="20"/>
      <c r="K160" s="20"/>
      <c r="L160" s="20"/>
      <c r="M160" s="20"/>
      <c r="N160" s="20"/>
    </row>
    <row r="161" spans="1:14" x14ac:dyDescent="0.25">
      <c r="A161" s="49">
        <v>160</v>
      </c>
      <c r="B161" s="50" t="s">
        <v>165</v>
      </c>
      <c r="C161" s="37">
        <v>9.5666666666666682</v>
      </c>
      <c r="D161" s="38">
        <v>10.566666666666666</v>
      </c>
      <c r="E161" s="39">
        <v>19.133333333333336</v>
      </c>
      <c r="F161" s="40">
        <v>0.43194444444444446</v>
      </c>
      <c r="G161" s="41">
        <v>10.566666666666666</v>
      </c>
      <c r="H161" s="42">
        <f t="shared" si="2"/>
        <v>50.265277777777783</v>
      </c>
      <c r="I161" s="52"/>
      <c r="J161" s="20"/>
      <c r="K161" s="20"/>
      <c r="L161" s="20"/>
      <c r="M161" s="20"/>
      <c r="N161" s="20"/>
    </row>
    <row r="162" spans="1:14" x14ac:dyDescent="0.25">
      <c r="A162" s="49">
        <v>161</v>
      </c>
      <c r="B162" s="50" t="s">
        <v>166</v>
      </c>
      <c r="C162" s="37">
        <v>11.066666666666668</v>
      </c>
      <c r="D162" s="38">
        <v>16.033333333333331</v>
      </c>
      <c r="E162" s="39">
        <v>22.133333333333336</v>
      </c>
      <c r="F162" s="40">
        <v>0.4375</v>
      </c>
      <c r="G162" s="41">
        <v>16.033333333333331</v>
      </c>
      <c r="H162" s="42">
        <f t="shared" si="2"/>
        <v>65.704166666666666</v>
      </c>
      <c r="I162" s="52"/>
      <c r="J162" s="20"/>
      <c r="K162" s="20"/>
      <c r="L162" s="20"/>
      <c r="M162" s="20"/>
      <c r="N162" s="20"/>
    </row>
    <row r="163" spans="1:14" x14ac:dyDescent="0.25">
      <c r="A163" s="49">
        <v>162</v>
      </c>
      <c r="B163" s="50" t="s">
        <v>167</v>
      </c>
      <c r="C163" s="37">
        <v>9.6333333333333346</v>
      </c>
      <c r="D163" s="38">
        <v>10.366666666666667</v>
      </c>
      <c r="E163" s="39">
        <v>19.266666666666669</v>
      </c>
      <c r="F163" s="40">
        <v>0.61250000000000004</v>
      </c>
      <c r="G163" s="41">
        <v>10.366666666666667</v>
      </c>
      <c r="H163" s="42">
        <f t="shared" si="2"/>
        <v>50.24583333333333</v>
      </c>
      <c r="I163" s="52"/>
      <c r="J163" s="20"/>
      <c r="K163" s="20"/>
      <c r="L163" s="20"/>
      <c r="M163" s="20"/>
      <c r="N163" s="20"/>
    </row>
    <row r="164" spans="1:14" x14ac:dyDescent="0.25">
      <c r="A164" s="49">
        <v>163</v>
      </c>
      <c r="B164" s="50" t="s">
        <v>168</v>
      </c>
      <c r="C164" s="37">
        <v>8.0333333333333332</v>
      </c>
      <c r="D164" s="38">
        <v>8.1</v>
      </c>
      <c r="E164" s="39">
        <v>16.066666666666666</v>
      </c>
      <c r="F164" s="40">
        <v>0.4027777777777779</v>
      </c>
      <c r="G164" s="41">
        <v>8.1</v>
      </c>
      <c r="H164" s="42">
        <f t="shared" si="2"/>
        <v>40.702777777777783</v>
      </c>
      <c r="I164" s="52"/>
      <c r="J164" s="20"/>
      <c r="K164" s="20"/>
      <c r="L164" s="20"/>
      <c r="M164" s="20"/>
      <c r="N164" s="20"/>
    </row>
    <row r="165" spans="1:14" x14ac:dyDescent="0.25">
      <c r="A165" s="49">
        <v>164</v>
      </c>
      <c r="B165" s="50" t="s">
        <v>169</v>
      </c>
      <c r="C165" s="37">
        <v>14.533333333333335</v>
      </c>
      <c r="D165" s="38">
        <v>18.8</v>
      </c>
      <c r="E165" s="39">
        <v>29.06666666666667</v>
      </c>
      <c r="F165" s="40">
        <v>0.50555555555555565</v>
      </c>
      <c r="G165" s="41">
        <v>18.8</v>
      </c>
      <c r="H165" s="42">
        <f t="shared" si="2"/>
        <v>81.705555555555563</v>
      </c>
      <c r="I165" s="52"/>
      <c r="J165" s="20"/>
      <c r="K165" s="20"/>
      <c r="L165" s="20"/>
      <c r="M165" s="20"/>
      <c r="N165" s="20"/>
    </row>
    <row r="166" spans="1:14" x14ac:dyDescent="0.25">
      <c r="A166" s="49">
        <v>165</v>
      </c>
      <c r="B166" s="50" t="s">
        <v>170</v>
      </c>
      <c r="C166" s="37">
        <v>9.6666666666666679</v>
      </c>
      <c r="D166" s="38">
        <v>9.5</v>
      </c>
      <c r="E166" s="39">
        <v>19.333333333333336</v>
      </c>
      <c r="F166" s="40">
        <v>0.68333333333333346</v>
      </c>
      <c r="G166" s="41">
        <v>9.5</v>
      </c>
      <c r="H166" s="42">
        <f t="shared" si="2"/>
        <v>48.68333333333333</v>
      </c>
      <c r="I166" s="52"/>
      <c r="J166" s="20"/>
      <c r="K166" s="20"/>
      <c r="L166" s="20"/>
      <c r="M166" s="20"/>
      <c r="N166" s="20"/>
    </row>
    <row r="167" spans="1:14" x14ac:dyDescent="0.25">
      <c r="A167" s="49">
        <v>166</v>
      </c>
      <c r="B167" s="50" t="s">
        <v>171</v>
      </c>
      <c r="C167" s="37">
        <v>14</v>
      </c>
      <c r="D167" s="38">
        <v>17.566666666666666</v>
      </c>
      <c r="E167" s="39">
        <v>28</v>
      </c>
      <c r="F167" s="40">
        <v>0.48888888888888893</v>
      </c>
      <c r="G167" s="41">
        <v>17.566666666666666</v>
      </c>
      <c r="H167" s="42">
        <f t="shared" si="2"/>
        <v>77.62222222222222</v>
      </c>
      <c r="I167" s="52"/>
      <c r="J167" s="20"/>
      <c r="K167" s="20"/>
      <c r="L167" s="20"/>
      <c r="M167" s="20"/>
      <c r="N167" s="20"/>
    </row>
    <row r="168" spans="1:14" x14ac:dyDescent="0.25">
      <c r="A168" s="49">
        <v>167</v>
      </c>
      <c r="B168" s="50" t="s">
        <v>172</v>
      </c>
      <c r="C168" s="37">
        <v>8.6</v>
      </c>
      <c r="D168" s="38">
        <v>11.233333333333334</v>
      </c>
      <c r="E168" s="39">
        <v>17.2</v>
      </c>
      <c r="F168" s="40">
        <v>0.56527777777777788</v>
      </c>
      <c r="G168" s="41">
        <v>11.233333333333334</v>
      </c>
      <c r="H168" s="42">
        <f t="shared" si="2"/>
        <v>48.831944444444446</v>
      </c>
      <c r="I168" s="52"/>
      <c r="J168" s="20"/>
      <c r="K168" s="20"/>
      <c r="L168" s="20"/>
      <c r="M168" s="20"/>
      <c r="N168" s="20"/>
    </row>
    <row r="169" spans="1:14" x14ac:dyDescent="0.25">
      <c r="A169" s="49">
        <v>168</v>
      </c>
      <c r="B169" s="50" t="s">
        <v>173</v>
      </c>
      <c r="C169" s="37">
        <v>10.900000000000002</v>
      </c>
      <c r="D169" s="38">
        <v>13.333333333333332</v>
      </c>
      <c r="E169" s="39">
        <v>21.800000000000004</v>
      </c>
      <c r="F169" s="40">
        <v>0.55833333333333346</v>
      </c>
      <c r="G169" s="41">
        <v>13.333333333333332</v>
      </c>
      <c r="H169" s="42">
        <f t="shared" si="2"/>
        <v>59.924999999999997</v>
      </c>
      <c r="I169" s="52"/>
      <c r="J169" s="20"/>
      <c r="K169" s="20"/>
      <c r="L169" s="20"/>
      <c r="M169" s="20"/>
      <c r="N169" s="20"/>
    </row>
    <row r="170" spans="1:14" x14ac:dyDescent="0.25">
      <c r="A170" s="49">
        <v>169</v>
      </c>
      <c r="B170" s="50" t="s">
        <v>174</v>
      </c>
      <c r="C170" s="37">
        <v>5.0666666666666673</v>
      </c>
      <c r="D170" s="38">
        <v>12.466666666666667</v>
      </c>
      <c r="E170" s="39">
        <v>10.133333333333335</v>
      </c>
      <c r="F170" s="40">
        <v>0.49305555555555564</v>
      </c>
      <c r="G170" s="41">
        <v>12.466666666666667</v>
      </c>
      <c r="H170" s="42">
        <f t="shared" si="2"/>
        <v>40.626388888888897</v>
      </c>
      <c r="I170" s="52"/>
      <c r="J170" s="20"/>
      <c r="K170" s="20"/>
      <c r="L170" s="20"/>
      <c r="M170" s="20"/>
      <c r="N170" s="20"/>
    </row>
    <row r="171" spans="1:14" x14ac:dyDescent="0.25">
      <c r="A171" s="49">
        <v>170</v>
      </c>
      <c r="B171" s="50" t="s">
        <v>175</v>
      </c>
      <c r="C171" s="37">
        <v>16.466666666666669</v>
      </c>
      <c r="D171" s="38">
        <v>16.2</v>
      </c>
      <c r="E171" s="39">
        <v>32.933333333333337</v>
      </c>
      <c r="F171" s="40">
        <v>0.40833333333333344</v>
      </c>
      <c r="G171" s="41">
        <v>16.2</v>
      </c>
      <c r="H171" s="42">
        <f t="shared" si="2"/>
        <v>82.208333333333343</v>
      </c>
      <c r="I171" s="52"/>
      <c r="J171" s="20"/>
      <c r="K171" s="20"/>
      <c r="L171" s="20"/>
      <c r="M171" s="20"/>
      <c r="N171" s="20"/>
    </row>
    <row r="172" spans="1:14" x14ac:dyDescent="0.25">
      <c r="A172" s="49">
        <v>171</v>
      </c>
      <c r="B172" s="50" t="s">
        <v>176</v>
      </c>
      <c r="C172" s="37">
        <v>7.5666666666666673</v>
      </c>
      <c r="D172" s="38">
        <v>9.6333333333333346</v>
      </c>
      <c r="E172" s="39">
        <v>15.133333333333335</v>
      </c>
      <c r="F172" s="40">
        <v>0.44027777777777788</v>
      </c>
      <c r="G172" s="41">
        <v>9.6333333333333346</v>
      </c>
      <c r="H172" s="42">
        <f t="shared" si="2"/>
        <v>42.406944444444449</v>
      </c>
      <c r="I172" s="52"/>
      <c r="J172" s="20"/>
      <c r="K172" s="20"/>
      <c r="L172" s="20"/>
      <c r="M172" s="20"/>
      <c r="N172" s="20"/>
    </row>
    <row r="173" spans="1:14" x14ac:dyDescent="0.25">
      <c r="A173" s="49">
        <v>172</v>
      </c>
      <c r="B173" s="50" t="s">
        <v>177</v>
      </c>
      <c r="C173" s="37">
        <v>3.5</v>
      </c>
      <c r="D173" s="38">
        <v>2.9333333333333336</v>
      </c>
      <c r="E173" s="39">
        <v>7</v>
      </c>
      <c r="F173" s="40">
        <v>0.28611111111111115</v>
      </c>
      <c r="G173" s="41">
        <v>2.9333333333333336</v>
      </c>
      <c r="H173" s="42">
        <f t="shared" si="2"/>
        <v>16.652777777777779</v>
      </c>
      <c r="I173" s="52"/>
      <c r="J173" s="20"/>
      <c r="K173" s="20"/>
      <c r="L173" s="20"/>
      <c r="M173" s="20"/>
      <c r="N173" s="20"/>
    </row>
    <row r="174" spans="1:14" x14ac:dyDescent="0.25">
      <c r="A174" s="49">
        <v>173</v>
      </c>
      <c r="B174" s="50" t="s">
        <v>178</v>
      </c>
      <c r="C174" s="37">
        <v>2.4333333333333336</v>
      </c>
      <c r="D174" s="38">
        <v>10.466666666666667</v>
      </c>
      <c r="E174" s="39">
        <v>4.8666666666666671</v>
      </c>
      <c r="F174" s="40">
        <v>0.15833333333333333</v>
      </c>
      <c r="G174" s="41">
        <v>10.466666666666667</v>
      </c>
      <c r="H174" s="42">
        <f t="shared" si="2"/>
        <v>28.391666666666666</v>
      </c>
      <c r="I174" s="52"/>
      <c r="J174" s="20"/>
      <c r="K174" s="20"/>
      <c r="L174" s="20"/>
      <c r="M174" s="20"/>
      <c r="N174" s="20"/>
    </row>
    <row r="175" spans="1:14" x14ac:dyDescent="0.25">
      <c r="A175" s="49">
        <v>174</v>
      </c>
      <c r="B175" s="50" t="s">
        <v>179</v>
      </c>
      <c r="C175" s="37">
        <v>2.8666666666666671</v>
      </c>
      <c r="D175" s="38">
        <v>0</v>
      </c>
      <c r="E175" s="39">
        <v>5.7333333333333343</v>
      </c>
      <c r="F175" s="40">
        <v>0.34722222222222227</v>
      </c>
      <c r="G175" s="41">
        <v>0</v>
      </c>
      <c r="H175" s="42">
        <f t="shared" si="2"/>
        <v>8.9472222222222229</v>
      </c>
      <c r="I175" s="52"/>
      <c r="J175" s="20"/>
      <c r="K175" s="20"/>
      <c r="L175" s="20"/>
      <c r="M175" s="20"/>
      <c r="N175" s="20"/>
    </row>
    <row r="176" spans="1:14" x14ac:dyDescent="0.25">
      <c r="A176" s="49">
        <v>175</v>
      </c>
      <c r="B176" s="50" t="s">
        <v>180</v>
      </c>
      <c r="C176" s="37">
        <v>0</v>
      </c>
      <c r="D176" s="38">
        <v>0</v>
      </c>
      <c r="E176" s="39">
        <v>0</v>
      </c>
      <c r="F176" s="40">
        <v>4.027777777777778E-2</v>
      </c>
      <c r="G176" s="41">
        <v>0</v>
      </c>
      <c r="H176" s="42">
        <f t="shared" si="2"/>
        <v>4.027777777777778E-2</v>
      </c>
      <c r="I176" s="52"/>
      <c r="J176" s="20"/>
      <c r="K176" s="20"/>
      <c r="L176" s="20"/>
      <c r="M176" s="20"/>
      <c r="N176" s="20"/>
    </row>
    <row r="177" spans="1:14" x14ac:dyDescent="0.25">
      <c r="A177" s="49">
        <v>176</v>
      </c>
      <c r="B177" s="50" t="s">
        <v>181</v>
      </c>
      <c r="C177" s="37">
        <v>7.9333333333333336</v>
      </c>
      <c r="D177" s="38">
        <v>4.9000000000000004</v>
      </c>
      <c r="E177" s="39">
        <v>15.866666666666667</v>
      </c>
      <c r="F177" s="40">
        <v>0.10138888888888892</v>
      </c>
      <c r="G177" s="41">
        <v>4.9000000000000004</v>
      </c>
      <c r="H177" s="42">
        <f t="shared" si="2"/>
        <v>33.701388888888893</v>
      </c>
      <c r="I177" s="52"/>
      <c r="J177" s="20"/>
      <c r="K177" s="20"/>
      <c r="L177" s="20"/>
      <c r="M177" s="20"/>
      <c r="N177" s="20"/>
    </row>
    <row r="178" spans="1:14" x14ac:dyDescent="0.25">
      <c r="A178" s="49">
        <v>177</v>
      </c>
      <c r="B178" s="50" t="s">
        <v>182</v>
      </c>
      <c r="C178" s="37">
        <v>0</v>
      </c>
      <c r="D178" s="38">
        <v>0</v>
      </c>
      <c r="E178" s="39">
        <v>0</v>
      </c>
      <c r="F178" s="40">
        <v>0.2819444444444445</v>
      </c>
      <c r="G178" s="41">
        <v>0</v>
      </c>
      <c r="H178" s="42">
        <f t="shared" si="2"/>
        <v>0.2819444444444445</v>
      </c>
      <c r="I178" s="52"/>
      <c r="J178" s="20"/>
      <c r="K178" s="20"/>
      <c r="L178" s="20"/>
      <c r="M178" s="20"/>
      <c r="N178" s="20"/>
    </row>
    <row r="179" spans="1:14" x14ac:dyDescent="0.25">
      <c r="A179" s="49">
        <v>178</v>
      </c>
      <c r="B179" s="50" t="s">
        <v>183</v>
      </c>
      <c r="C179" s="37">
        <v>2.7</v>
      </c>
      <c r="D179" s="38">
        <v>7.8666666666666663</v>
      </c>
      <c r="E179" s="39">
        <v>5.4</v>
      </c>
      <c r="F179" s="40">
        <v>8.0555555555555561E-2</v>
      </c>
      <c r="G179" s="41">
        <v>7.8666666666666663</v>
      </c>
      <c r="H179" s="42">
        <f t="shared" si="2"/>
        <v>23.913888888888888</v>
      </c>
      <c r="I179" s="52"/>
      <c r="J179" s="20"/>
      <c r="K179" s="20"/>
      <c r="L179" s="20"/>
      <c r="M179" s="20"/>
      <c r="N179" s="20"/>
    </row>
    <row r="180" spans="1:14" x14ac:dyDescent="0.25">
      <c r="A180" s="49">
        <v>179</v>
      </c>
      <c r="B180" s="50" t="s">
        <v>184</v>
      </c>
      <c r="C180" s="37">
        <v>6.1333333333333329</v>
      </c>
      <c r="D180" s="38">
        <v>0</v>
      </c>
      <c r="E180" s="39">
        <v>12.266666666666666</v>
      </c>
      <c r="F180" s="40">
        <v>0.47222222222222227</v>
      </c>
      <c r="G180" s="41">
        <v>0</v>
      </c>
      <c r="H180" s="42">
        <f t="shared" si="2"/>
        <v>18.87222222222222</v>
      </c>
      <c r="I180" s="52"/>
      <c r="J180" s="20"/>
      <c r="K180" s="20"/>
      <c r="L180" s="20"/>
      <c r="M180" s="20"/>
      <c r="N180" s="20"/>
    </row>
    <row r="181" spans="1:14" x14ac:dyDescent="0.25">
      <c r="A181" s="49">
        <v>180</v>
      </c>
      <c r="B181" s="50" t="s">
        <v>185</v>
      </c>
      <c r="C181" s="37">
        <v>4.0666666666666664</v>
      </c>
      <c r="D181" s="38">
        <v>0</v>
      </c>
      <c r="E181" s="39">
        <v>8.1333333333333329</v>
      </c>
      <c r="F181" s="40">
        <v>0.35277777777777786</v>
      </c>
      <c r="G181" s="41">
        <v>0</v>
      </c>
      <c r="H181" s="42">
        <f t="shared" si="2"/>
        <v>12.552777777777777</v>
      </c>
      <c r="I181" s="52"/>
      <c r="J181" s="20"/>
      <c r="K181" s="20"/>
      <c r="L181" s="20"/>
      <c r="M181" s="20"/>
      <c r="N181" s="20"/>
    </row>
    <row r="182" spans="1:14" x14ac:dyDescent="0.25">
      <c r="A182" s="49">
        <v>181</v>
      </c>
      <c r="B182" s="50" t="s">
        <v>186</v>
      </c>
      <c r="C182" s="37">
        <v>14.333333333333336</v>
      </c>
      <c r="D182" s="38">
        <v>17.033333333333335</v>
      </c>
      <c r="E182" s="39">
        <v>28.666666666666671</v>
      </c>
      <c r="F182" s="40">
        <v>0.27361111111111119</v>
      </c>
      <c r="G182" s="41">
        <v>17.033333333333335</v>
      </c>
      <c r="H182" s="42">
        <f t="shared" si="2"/>
        <v>77.340277777777786</v>
      </c>
      <c r="I182" s="52"/>
      <c r="J182" s="20"/>
      <c r="K182" s="20"/>
      <c r="L182" s="20"/>
      <c r="M182" s="20"/>
      <c r="N182" s="20"/>
    </row>
    <row r="183" spans="1:14" x14ac:dyDescent="0.25">
      <c r="A183" s="49">
        <v>182</v>
      </c>
      <c r="B183" s="50" t="s">
        <v>187</v>
      </c>
      <c r="C183" s="37">
        <v>11.366666666666667</v>
      </c>
      <c r="D183" s="38">
        <v>12</v>
      </c>
      <c r="E183" s="39">
        <v>22.733333333333334</v>
      </c>
      <c r="F183" s="40">
        <v>0.85555555555555574</v>
      </c>
      <c r="G183" s="41">
        <v>12</v>
      </c>
      <c r="H183" s="42">
        <f t="shared" si="2"/>
        <v>58.955555555555556</v>
      </c>
      <c r="I183" s="52"/>
      <c r="J183" s="20"/>
      <c r="K183" s="20"/>
      <c r="L183" s="20"/>
      <c r="M183" s="20"/>
      <c r="N183" s="20"/>
    </row>
    <row r="184" spans="1:14" x14ac:dyDescent="0.25">
      <c r="A184" s="49">
        <v>183</v>
      </c>
      <c r="B184" s="50" t="s">
        <v>188</v>
      </c>
      <c r="C184" s="37">
        <v>7.3000000000000007</v>
      </c>
      <c r="D184" s="38">
        <v>12.666666666666666</v>
      </c>
      <c r="E184" s="39">
        <v>14.600000000000001</v>
      </c>
      <c r="F184" s="40">
        <v>0.24444444444444446</v>
      </c>
      <c r="G184" s="41">
        <v>12.666666666666666</v>
      </c>
      <c r="H184" s="42">
        <f t="shared" si="2"/>
        <v>47.477777777777781</v>
      </c>
      <c r="I184" s="52"/>
      <c r="J184" s="20"/>
      <c r="K184" s="20"/>
      <c r="L184" s="20"/>
      <c r="M184" s="20"/>
      <c r="N184" s="20"/>
    </row>
    <row r="185" spans="1:14" x14ac:dyDescent="0.25">
      <c r="A185" s="49">
        <v>184</v>
      </c>
      <c r="B185" s="50" t="s">
        <v>189</v>
      </c>
      <c r="C185" s="37">
        <v>16.033333333333331</v>
      </c>
      <c r="D185" s="38">
        <v>15.433333333333332</v>
      </c>
      <c r="E185" s="39">
        <v>32.066666666666663</v>
      </c>
      <c r="F185" s="40">
        <v>0.57638888888888895</v>
      </c>
      <c r="G185" s="41">
        <v>15.433333333333332</v>
      </c>
      <c r="H185" s="42">
        <f t="shared" si="2"/>
        <v>79.543055555555554</v>
      </c>
      <c r="I185" s="52"/>
      <c r="J185" s="20"/>
      <c r="K185" s="20"/>
      <c r="L185" s="20"/>
      <c r="M185" s="20"/>
      <c r="N185" s="20"/>
    </row>
    <row r="186" spans="1:14" x14ac:dyDescent="0.25">
      <c r="A186" s="49">
        <v>185</v>
      </c>
      <c r="B186" s="50" t="s">
        <v>190</v>
      </c>
      <c r="C186" s="37">
        <v>0</v>
      </c>
      <c r="D186" s="38">
        <v>0</v>
      </c>
      <c r="E186" s="39">
        <v>0</v>
      </c>
      <c r="F186" s="40">
        <v>0.83611111111111114</v>
      </c>
      <c r="G186" s="41">
        <v>0</v>
      </c>
      <c r="H186" s="42">
        <f t="shared" si="2"/>
        <v>0.83611111111111114</v>
      </c>
      <c r="I186" s="52"/>
      <c r="J186" s="20"/>
      <c r="K186" s="20"/>
      <c r="L186" s="20"/>
      <c r="M186" s="20"/>
      <c r="N186" s="20"/>
    </row>
    <row r="187" spans="1:14" x14ac:dyDescent="0.25">
      <c r="A187" s="49">
        <v>186</v>
      </c>
      <c r="B187" s="50" t="s">
        <v>191</v>
      </c>
      <c r="C187" s="37">
        <v>13.866666666666669</v>
      </c>
      <c r="D187" s="38">
        <v>15.3</v>
      </c>
      <c r="E187" s="39">
        <v>27.733333333333338</v>
      </c>
      <c r="F187" s="40">
        <v>0.35694444444444451</v>
      </c>
      <c r="G187" s="41">
        <v>15.3</v>
      </c>
      <c r="H187" s="42">
        <f t="shared" si="2"/>
        <v>72.556944444444454</v>
      </c>
      <c r="I187" s="52"/>
      <c r="J187" s="20"/>
      <c r="K187" s="20"/>
      <c r="L187" s="20"/>
      <c r="M187" s="20"/>
      <c r="N187" s="20"/>
    </row>
    <row r="188" spans="1:14" x14ac:dyDescent="0.25">
      <c r="A188" s="49">
        <v>187</v>
      </c>
      <c r="B188" s="50" t="s">
        <v>192</v>
      </c>
      <c r="C188" s="37">
        <v>16.2</v>
      </c>
      <c r="D188" s="38">
        <v>17.833333333333336</v>
      </c>
      <c r="E188" s="39">
        <v>32.4</v>
      </c>
      <c r="F188" s="40">
        <v>0.83472222222222214</v>
      </c>
      <c r="G188" s="41">
        <v>17.833333333333336</v>
      </c>
      <c r="H188" s="42">
        <f t="shared" si="2"/>
        <v>85.101388888888891</v>
      </c>
      <c r="I188" s="52"/>
      <c r="J188" s="20"/>
      <c r="K188" s="20"/>
      <c r="L188" s="20"/>
      <c r="M188" s="20"/>
      <c r="N188" s="20"/>
    </row>
    <row r="189" spans="1:14" x14ac:dyDescent="0.25">
      <c r="A189" s="49">
        <v>188</v>
      </c>
      <c r="B189" s="50" t="s">
        <v>193</v>
      </c>
      <c r="C189" s="37">
        <v>12.600000000000001</v>
      </c>
      <c r="D189" s="38">
        <v>15.266666666666666</v>
      </c>
      <c r="E189" s="39">
        <v>25.200000000000003</v>
      </c>
      <c r="F189" s="40">
        <v>0.83194444444444449</v>
      </c>
      <c r="G189" s="41">
        <v>15.266666666666666</v>
      </c>
      <c r="H189" s="42">
        <f t="shared" si="2"/>
        <v>69.165277777777789</v>
      </c>
      <c r="I189" s="52"/>
      <c r="J189" s="20"/>
      <c r="K189" s="20"/>
      <c r="L189" s="20"/>
      <c r="M189" s="20"/>
      <c r="N189" s="20"/>
    </row>
    <row r="190" spans="1:14" x14ac:dyDescent="0.25">
      <c r="A190" s="49">
        <v>189</v>
      </c>
      <c r="B190" s="50" t="s">
        <v>194</v>
      </c>
      <c r="C190" s="37">
        <v>15.633333333333333</v>
      </c>
      <c r="D190" s="38">
        <v>17.333333333333336</v>
      </c>
      <c r="E190" s="39">
        <v>31.266666666666666</v>
      </c>
      <c r="F190" s="40">
        <v>0.71944444444444455</v>
      </c>
      <c r="G190" s="41">
        <v>17.333333333333336</v>
      </c>
      <c r="H190" s="42">
        <f t="shared" si="2"/>
        <v>82.286111111111126</v>
      </c>
      <c r="I190" s="52"/>
      <c r="J190" s="20"/>
      <c r="K190" s="20"/>
      <c r="L190" s="20"/>
      <c r="M190" s="20"/>
      <c r="N190" s="20"/>
    </row>
    <row r="191" spans="1:14" x14ac:dyDescent="0.25">
      <c r="A191" s="49">
        <v>190</v>
      </c>
      <c r="B191" s="50" t="s">
        <v>195</v>
      </c>
      <c r="C191" s="37">
        <v>12.533333333333335</v>
      </c>
      <c r="D191" s="38">
        <v>15.166666666666666</v>
      </c>
      <c r="E191" s="39">
        <v>25.06666666666667</v>
      </c>
      <c r="F191" s="40">
        <v>0.73611111111111116</v>
      </c>
      <c r="G191" s="41">
        <v>15.166666666666666</v>
      </c>
      <c r="H191" s="42">
        <f t="shared" si="2"/>
        <v>68.669444444444451</v>
      </c>
      <c r="I191" s="52"/>
      <c r="J191" s="20"/>
      <c r="K191" s="20"/>
      <c r="L191" s="20"/>
      <c r="M191" s="20"/>
      <c r="N191" s="20"/>
    </row>
    <row r="192" spans="1:14" x14ac:dyDescent="0.25">
      <c r="A192" s="49">
        <v>191</v>
      </c>
      <c r="B192" s="50" t="s">
        <v>196</v>
      </c>
      <c r="C192" s="37">
        <v>10.5</v>
      </c>
      <c r="D192" s="38">
        <v>12.966666666666667</v>
      </c>
      <c r="E192" s="39">
        <v>21</v>
      </c>
      <c r="F192" s="40">
        <v>0.60138888888888897</v>
      </c>
      <c r="G192" s="41">
        <v>12.966666666666667</v>
      </c>
      <c r="H192" s="42">
        <f t="shared" si="2"/>
        <v>58.034722222222229</v>
      </c>
      <c r="I192" s="52"/>
      <c r="J192" s="20"/>
      <c r="K192" s="20"/>
      <c r="L192" s="20"/>
      <c r="M192" s="20"/>
      <c r="N192" s="20"/>
    </row>
    <row r="193" spans="1:14" x14ac:dyDescent="0.25">
      <c r="A193" s="49">
        <v>192</v>
      </c>
      <c r="B193" s="50" t="s">
        <v>197</v>
      </c>
      <c r="C193" s="37">
        <v>9.2000000000000011</v>
      </c>
      <c r="D193" s="38">
        <v>8</v>
      </c>
      <c r="E193" s="39">
        <v>18.400000000000002</v>
      </c>
      <c r="F193" s="40">
        <v>0.56944444444444453</v>
      </c>
      <c r="G193" s="41">
        <v>8</v>
      </c>
      <c r="H193" s="42">
        <f t="shared" si="2"/>
        <v>44.169444444444451</v>
      </c>
      <c r="I193" s="52"/>
      <c r="J193" s="20"/>
      <c r="K193" s="20"/>
      <c r="L193" s="20"/>
      <c r="M193" s="20"/>
      <c r="N193" s="20"/>
    </row>
    <row r="194" spans="1:14" x14ac:dyDescent="0.25">
      <c r="A194" s="49">
        <v>193</v>
      </c>
      <c r="B194" s="50" t="s">
        <v>198</v>
      </c>
      <c r="C194" s="37">
        <v>8.3000000000000007</v>
      </c>
      <c r="D194" s="38">
        <v>12.366666666666667</v>
      </c>
      <c r="E194" s="39">
        <v>16.600000000000001</v>
      </c>
      <c r="F194" s="40">
        <v>0.52361111111111114</v>
      </c>
      <c r="G194" s="41">
        <v>12.366666666666667</v>
      </c>
      <c r="H194" s="42">
        <f t="shared" ref="H194:H230" si="3">SUM(C194:G194)</f>
        <v>50.156944444444441</v>
      </c>
      <c r="I194" s="52"/>
      <c r="J194" s="20"/>
      <c r="K194" s="20"/>
      <c r="L194" s="20"/>
      <c r="M194" s="20"/>
      <c r="N194" s="20"/>
    </row>
    <row r="195" spans="1:14" x14ac:dyDescent="0.25">
      <c r="A195" s="49">
        <v>194</v>
      </c>
      <c r="B195" s="50" t="s">
        <v>199</v>
      </c>
      <c r="C195" s="37">
        <v>11.966666666666669</v>
      </c>
      <c r="D195" s="38">
        <v>17.833333333333336</v>
      </c>
      <c r="E195" s="39">
        <v>23.933333333333337</v>
      </c>
      <c r="F195" s="40">
        <v>0.23472222222222225</v>
      </c>
      <c r="G195" s="41">
        <v>17.833333333333336</v>
      </c>
      <c r="H195" s="42">
        <f t="shared" si="3"/>
        <v>71.801388888888908</v>
      </c>
      <c r="I195" s="52"/>
      <c r="J195" s="20"/>
      <c r="K195" s="20"/>
      <c r="L195" s="20"/>
      <c r="M195" s="20"/>
      <c r="N195" s="20"/>
    </row>
    <row r="196" spans="1:14" x14ac:dyDescent="0.25">
      <c r="A196" s="49">
        <v>195</v>
      </c>
      <c r="B196" s="50" t="s">
        <v>200</v>
      </c>
      <c r="C196" s="37">
        <v>12.700000000000001</v>
      </c>
      <c r="D196" s="38">
        <v>15.633333333333333</v>
      </c>
      <c r="E196" s="39">
        <v>25.400000000000002</v>
      </c>
      <c r="F196" s="40">
        <v>0.75972222222222241</v>
      </c>
      <c r="G196" s="41">
        <v>15.633333333333333</v>
      </c>
      <c r="H196" s="42">
        <f t="shared" si="3"/>
        <v>70.126388888888897</v>
      </c>
      <c r="I196" s="52"/>
      <c r="J196" s="20"/>
      <c r="K196" s="20"/>
      <c r="L196" s="20"/>
      <c r="M196" s="20"/>
      <c r="N196" s="20"/>
    </row>
    <row r="197" spans="1:14" x14ac:dyDescent="0.25">
      <c r="A197" s="49">
        <v>196</v>
      </c>
      <c r="B197" s="50" t="s">
        <v>201</v>
      </c>
      <c r="C197" s="37">
        <v>0</v>
      </c>
      <c r="D197" s="38">
        <v>0</v>
      </c>
      <c r="E197" s="39">
        <v>0</v>
      </c>
      <c r="F197" s="40">
        <v>0.7680555555555556</v>
      </c>
      <c r="G197" s="41">
        <v>0</v>
      </c>
      <c r="H197" s="42">
        <f t="shared" si="3"/>
        <v>0.7680555555555556</v>
      </c>
      <c r="I197" s="52"/>
      <c r="J197" s="20"/>
      <c r="K197" s="20"/>
      <c r="L197" s="20"/>
      <c r="M197" s="20"/>
      <c r="N197" s="20"/>
    </row>
    <row r="198" spans="1:14" x14ac:dyDescent="0.25">
      <c r="A198" s="49">
        <v>197</v>
      </c>
      <c r="B198" s="50" t="s">
        <v>202</v>
      </c>
      <c r="C198" s="37">
        <v>13.366666666666667</v>
      </c>
      <c r="D198" s="38">
        <v>16.100000000000001</v>
      </c>
      <c r="E198" s="39">
        <v>26.733333333333334</v>
      </c>
      <c r="F198" s="40">
        <v>0.3708333333333334</v>
      </c>
      <c r="G198" s="41">
        <v>16.100000000000001</v>
      </c>
      <c r="H198" s="42">
        <f t="shared" si="3"/>
        <v>72.670833333333334</v>
      </c>
      <c r="I198" s="52"/>
      <c r="J198" s="20"/>
      <c r="K198" s="20"/>
      <c r="L198" s="20"/>
      <c r="M198" s="20"/>
      <c r="N198" s="20"/>
    </row>
    <row r="199" spans="1:14" x14ac:dyDescent="0.25">
      <c r="A199" s="49">
        <v>198</v>
      </c>
      <c r="B199" s="50" t="s">
        <v>203</v>
      </c>
      <c r="C199" s="37">
        <v>13.566666666666666</v>
      </c>
      <c r="D199" s="38">
        <v>16.133333333333333</v>
      </c>
      <c r="E199" s="39">
        <v>27.133333333333333</v>
      </c>
      <c r="F199" s="40">
        <v>0.40416666666666673</v>
      </c>
      <c r="G199" s="41">
        <v>16.133333333333333</v>
      </c>
      <c r="H199" s="42">
        <f t="shared" si="3"/>
        <v>73.370833333333337</v>
      </c>
      <c r="I199" s="52"/>
      <c r="J199" s="20"/>
      <c r="K199" s="20"/>
      <c r="L199" s="20"/>
      <c r="M199" s="20"/>
      <c r="N199" s="20"/>
    </row>
    <row r="200" spans="1:14" x14ac:dyDescent="0.25">
      <c r="A200" s="49">
        <v>199</v>
      </c>
      <c r="B200" s="50" t="s">
        <v>204</v>
      </c>
      <c r="C200" s="37">
        <v>12.466666666666667</v>
      </c>
      <c r="D200" s="38">
        <v>12.033333333333335</v>
      </c>
      <c r="E200" s="39">
        <v>24.933333333333334</v>
      </c>
      <c r="F200" s="40">
        <v>0.81527777777777788</v>
      </c>
      <c r="G200" s="41">
        <v>12.033333333333335</v>
      </c>
      <c r="H200" s="42">
        <f t="shared" si="3"/>
        <v>62.281944444444449</v>
      </c>
      <c r="I200" s="52"/>
      <c r="J200" s="20"/>
      <c r="K200" s="20"/>
      <c r="L200" s="20"/>
      <c r="M200" s="20"/>
      <c r="N200" s="20"/>
    </row>
    <row r="201" spans="1:14" x14ac:dyDescent="0.25">
      <c r="A201" s="49">
        <v>200</v>
      </c>
      <c r="B201" s="50" t="s">
        <v>205</v>
      </c>
      <c r="C201" s="37">
        <v>0</v>
      </c>
      <c r="D201" s="38">
        <v>0</v>
      </c>
      <c r="E201" s="39">
        <v>0</v>
      </c>
      <c r="F201" s="40">
        <v>0.73472222222222228</v>
      </c>
      <c r="G201" s="41">
        <v>0</v>
      </c>
      <c r="H201" s="42">
        <f t="shared" si="3"/>
        <v>0.73472222222222228</v>
      </c>
      <c r="I201" s="52"/>
      <c r="J201" s="20"/>
      <c r="K201" s="20"/>
      <c r="L201" s="20"/>
      <c r="M201" s="20"/>
      <c r="N201" s="20"/>
    </row>
    <row r="202" spans="1:14" ht="26.25" x14ac:dyDescent="0.25">
      <c r="A202" s="49">
        <v>201</v>
      </c>
      <c r="B202" s="50" t="s">
        <v>206</v>
      </c>
      <c r="C202" s="37">
        <v>16.600000000000001</v>
      </c>
      <c r="D202" s="38">
        <v>17.3</v>
      </c>
      <c r="E202" s="39">
        <v>33.200000000000003</v>
      </c>
      <c r="F202" s="40">
        <v>0</v>
      </c>
      <c r="G202" s="41">
        <v>17.3</v>
      </c>
      <c r="H202" s="42">
        <f t="shared" si="3"/>
        <v>84.4</v>
      </c>
      <c r="I202" s="52"/>
      <c r="J202" s="20"/>
      <c r="K202" s="20"/>
      <c r="L202" s="20"/>
      <c r="M202" s="20"/>
      <c r="N202" s="20"/>
    </row>
    <row r="203" spans="1:14" x14ac:dyDescent="0.25">
      <c r="A203" s="49">
        <v>202</v>
      </c>
      <c r="B203" s="50" t="s">
        <v>207</v>
      </c>
      <c r="C203" s="37">
        <v>14.733333333333334</v>
      </c>
      <c r="D203" s="38">
        <v>15.200000000000001</v>
      </c>
      <c r="E203" s="39">
        <v>29.466666666666669</v>
      </c>
      <c r="F203" s="40">
        <v>0.74444444444444446</v>
      </c>
      <c r="G203" s="41">
        <v>15.200000000000001</v>
      </c>
      <c r="H203" s="42">
        <f t="shared" si="3"/>
        <v>75.344444444444449</v>
      </c>
      <c r="I203" s="52"/>
      <c r="J203" s="20"/>
      <c r="K203" s="20"/>
      <c r="L203" s="20"/>
      <c r="M203" s="20"/>
      <c r="N203" s="20"/>
    </row>
    <row r="204" spans="1:14" x14ac:dyDescent="0.25">
      <c r="A204" s="49">
        <v>203</v>
      </c>
      <c r="B204" s="50" t="s">
        <v>208</v>
      </c>
      <c r="C204" s="37">
        <v>0</v>
      </c>
      <c r="D204" s="38">
        <v>0</v>
      </c>
      <c r="E204" s="39">
        <v>0</v>
      </c>
      <c r="F204" s="40">
        <v>0.72361111111111109</v>
      </c>
      <c r="G204" s="41">
        <v>0</v>
      </c>
      <c r="H204" s="42">
        <f t="shared" si="3"/>
        <v>0.72361111111111109</v>
      </c>
      <c r="I204" s="52"/>
      <c r="J204" s="20"/>
      <c r="K204" s="20"/>
      <c r="L204" s="20"/>
      <c r="M204" s="20"/>
      <c r="N204" s="20"/>
    </row>
    <row r="205" spans="1:14" x14ac:dyDescent="0.25">
      <c r="A205" s="49">
        <v>204</v>
      </c>
      <c r="B205" s="50" t="s">
        <v>209</v>
      </c>
      <c r="C205" s="37">
        <v>11.566666666666668</v>
      </c>
      <c r="D205" s="38">
        <v>13</v>
      </c>
      <c r="E205" s="39">
        <v>23.133333333333336</v>
      </c>
      <c r="F205" s="40">
        <v>0</v>
      </c>
      <c r="G205" s="41">
        <v>13</v>
      </c>
      <c r="H205" s="42">
        <f t="shared" si="3"/>
        <v>60.7</v>
      </c>
      <c r="I205" s="52"/>
      <c r="J205" s="20"/>
      <c r="K205" s="20"/>
      <c r="L205" s="20"/>
      <c r="M205" s="20"/>
      <c r="N205" s="20"/>
    </row>
    <row r="206" spans="1:14" x14ac:dyDescent="0.25">
      <c r="A206" s="49">
        <v>205</v>
      </c>
      <c r="B206" s="50" t="s">
        <v>210</v>
      </c>
      <c r="C206" s="37">
        <v>12.466666666666667</v>
      </c>
      <c r="D206" s="38">
        <v>13.433333333333332</v>
      </c>
      <c r="E206" s="39">
        <v>24.933333333333334</v>
      </c>
      <c r="F206" s="40">
        <v>0.58472222222222225</v>
      </c>
      <c r="G206" s="41">
        <v>13.433333333333332</v>
      </c>
      <c r="H206" s="42">
        <f t="shared" si="3"/>
        <v>64.851388888888891</v>
      </c>
      <c r="I206" s="52"/>
      <c r="J206" s="20"/>
      <c r="K206" s="20"/>
      <c r="L206" s="20"/>
      <c r="M206" s="20"/>
      <c r="N206" s="20"/>
    </row>
    <row r="207" spans="1:14" x14ac:dyDescent="0.25">
      <c r="A207" s="49">
        <v>206</v>
      </c>
      <c r="B207" s="50" t="s">
        <v>211</v>
      </c>
      <c r="C207" s="37">
        <v>0</v>
      </c>
      <c r="D207" s="38">
        <v>0</v>
      </c>
      <c r="E207" s="39">
        <v>0</v>
      </c>
      <c r="F207" s="40">
        <v>0.34166666666666667</v>
      </c>
      <c r="G207" s="41">
        <v>0</v>
      </c>
      <c r="H207" s="42">
        <f t="shared" si="3"/>
        <v>0.34166666666666667</v>
      </c>
      <c r="I207" s="52"/>
      <c r="J207" s="20"/>
      <c r="K207" s="20"/>
      <c r="L207" s="20"/>
      <c r="M207" s="20"/>
      <c r="N207" s="20"/>
    </row>
    <row r="208" spans="1:14" x14ac:dyDescent="0.25">
      <c r="A208" s="49">
        <v>207</v>
      </c>
      <c r="B208" s="50" t="s">
        <v>212</v>
      </c>
      <c r="C208" s="37">
        <v>9.8333333333333339</v>
      </c>
      <c r="D208" s="38">
        <v>12.4</v>
      </c>
      <c r="E208" s="39">
        <v>19.666666666666668</v>
      </c>
      <c r="F208" s="40">
        <v>0.25555555555555554</v>
      </c>
      <c r="G208" s="41">
        <v>12.4</v>
      </c>
      <c r="H208" s="42">
        <f t="shared" si="3"/>
        <v>54.555555555555557</v>
      </c>
      <c r="I208" s="52"/>
      <c r="J208" s="20"/>
      <c r="K208" s="20"/>
      <c r="L208" s="20"/>
      <c r="M208" s="20"/>
      <c r="N208" s="20"/>
    </row>
    <row r="209" spans="1:14" x14ac:dyDescent="0.25">
      <c r="A209" s="49">
        <v>208</v>
      </c>
      <c r="B209" s="50" t="s">
        <v>213</v>
      </c>
      <c r="C209" s="37">
        <v>0</v>
      </c>
      <c r="D209" s="38">
        <v>0</v>
      </c>
      <c r="E209" s="39">
        <v>0</v>
      </c>
      <c r="F209" s="40">
        <v>0.67222222222222239</v>
      </c>
      <c r="G209" s="41">
        <v>0</v>
      </c>
      <c r="H209" s="42">
        <f t="shared" si="3"/>
        <v>0.67222222222222239</v>
      </c>
      <c r="I209" s="52"/>
      <c r="J209" s="20"/>
      <c r="K209" s="20"/>
      <c r="L209" s="20"/>
      <c r="M209" s="20"/>
      <c r="N209" s="20"/>
    </row>
    <row r="210" spans="1:14" x14ac:dyDescent="0.25">
      <c r="A210" s="49">
        <v>209</v>
      </c>
      <c r="B210" s="50" t="s">
        <v>214</v>
      </c>
      <c r="C210" s="37">
        <v>8.8000000000000007</v>
      </c>
      <c r="D210" s="38">
        <v>11.033333333333333</v>
      </c>
      <c r="E210" s="39">
        <v>17.600000000000001</v>
      </c>
      <c r="F210" s="40">
        <v>0</v>
      </c>
      <c r="G210" s="41">
        <v>11.033333333333333</v>
      </c>
      <c r="H210" s="42">
        <f t="shared" si="3"/>
        <v>48.466666666666669</v>
      </c>
      <c r="I210" s="52"/>
      <c r="J210" s="20"/>
      <c r="K210" s="20"/>
      <c r="L210" s="20"/>
      <c r="M210" s="20"/>
      <c r="N210" s="20"/>
    </row>
    <row r="211" spans="1:14" x14ac:dyDescent="0.25">
      <c r="A211" s="49">
        <v>210</v>
      </c>
      <c r="B211" s="50" t="s">
        <v>215</v>
      </c>
      <c r="C211" s="37">
        <v>16.366666666666671</v>
      </c>
      <c r="D211" s="38">
        <v>17.233333333333334</v>
      </c>
      <c r="E211" s="39">
        <v>32.733333333333341</v>
      </c>
      <c r="F211" s="40">
        <v>0.44444444444444448</v>
      </c>
      <c r="G211" s="41">
        <v>17.233333333333334</v>
      </c>
      <c r="H211" s="42">
        <f t="shared" si="3"/>
        <v>84.01111111111112</v>
      </c>
      <c r="I211" s="52"/>
      <c r="J211" s="20"/>
      <c r="K211" s="20"/>
      <c r="L211" s="20"/>
      <c r="M211" s="20"/>
      <c r="N211" s="20"/>
    </row>
    <row r="212" spans="1:14" ht="26.25" x14ac:dyDescent="0.25">
      <c r="A212" s="49">
        <v>211</v>
      </c>
      <c r="B212" s="50" t="s">
        <v>216</v>
      </c>
      <c r="C212" s="37">
        <v>0</v>
      </c>
      <c r="D212" s="38">
        <v>0</v>
      </c>
      <c r="E212" s="39">
        <v>0</v>
      </c>
      <c r="F212" s="40">
        <v>0.21250000000000002</v>
      </c>
      <c r="G212" s="41">
        <v>0</v>
      </c>
      <c r="H212" s="42">
        <f t="shared" si="3"/>
        <v>0.21250000000000002</v>
      </c>
      <c r="I212" s="52"/>
      <c r="J212" s="20"/>
      <c r="K212" s="20"/>
      <c r="L212" s="20"/>
      <c r="M212" s="20"/>
      <c r="N212" s="20"/>
    </row>
    <row r="213" spans="1:14" x14ac:dyDescent="0.25">
      <c r="A213" s="49">
        <v>212</v>
      </c>
      <c r="B213" s="50" t="s">
        <v>217</v>
      </c>
      <c r="C213" s="37">
        <v>7.5333333333333332</v>
      </c>
      <c r="D213" s="38">
        <v>9.9333333333333336</v>
      </c>
      <c r="E213" s="39">
        <v>15.066666666666666</v>
      </c>
      <c r="F213" s="40">
        <v>0.36527777777777781</v>
      </c>
      <c r="G213" s="41">
        <v>9.9333333333333336</v>
      </c>
      <c r="H213" s="42">
        <f t="shared" si="3"/>
        <v>42.831944444444446</v>
      </c>
      <c r="I213" s="52"/>
      <c r="J213" s="20"/>
      <c r="K213" s="20"/>
      <c r="L213" s="20"/>
      <c r="M213" s="20"/>
      <c r="N213" s="20"/>
    </row>
    <row r="214" spans="1:14" x14ac:dyDescent="0.25">
      <c r="A214" s="49">
        <v>213</v>
      </c>
      <c r="B214" s="50" t="s">
        <v>218</v>
      </c>
      <c r="C214" s="37">
        <v>0</v>
      </c>
      <c r="D214" s="38">
        <v>0</v>
      </c>
      <c r="E214" s="39">
        <v>0</v>
      </c>
      <c r="F214" s="40">
        <v>0.60138888888888897</v>
      </c>
      <c r="G214" s="41">
        <v>0</v>
      </c>
      <c r="H214" s="42">
        <f t="shared" si="3"/>
        <v>0.60138888888888897</v>
      </c>
      <c r="I214" s="52"/>
      <c r="J214" s="20"/>
      <c r="K214" s="20"/>
      <c r="L214" s="20"/>
      <c r="M214" s="20"/>
      <c r="N214" s="20"/>
    </row>
    <row r="215" spans="1:14" x14ac:dyDescent="0.25">
      <c r="A215" s="49">
        <v>214</v>
      </c>
      <c r="B215" s="50" t="s">
        <v>219</v>
      </c>
      <c r="C215" s="37">
        <v>13.533333333333331</v>
      </c>
      <c r="D215" s="38">
        <v>15.866666666666667</v>
      </c>
      <c r="E215" s="39">
        <v>27.066666666666663</v>
      </c>
      <c r="F215" s="40">
        <v>0.35277777777777786</v>
      </c>
      <c r="G215" s="41">
        <v>15.866666666666667</v>
      </c>
      <c r="H215" s="42">
        <f t="shared" si="3"/>
        <v>72.686111111111103</v>
      </c>
      <c r="I215" s="52"/>
      <c r="J215" s="20"/>
      <c r="K215" s="20"/>
      <c r="L215" s="20"/>
      <c r="M215" s="20"/>
      <c r="N215" s="20"/>
    </row>
    <row r="216" spans="1:14" x14ac:dyDescent="0.25">
      <c r="A216" s="49">
        <v>215</v>
      </c>
      <c r="B216" s="50" t="s">
        <v>220</v>
      </c>
      <c r="C216" s="37">
        <v>14.433333333333335</v>
      </c>
      <c r="D216" s="38">
        <v>16.433333333333334</v>
      </c>
      <c r="E216" s="39">
        <v>28.866666666666671</v>
      </c>
      <c r="F216" s="40">
        <v>0.36944444444444446</v>
      </c>
      <c r="G216" s="41">
        <v>16.433333333333334</v>
      </c>
      <c r="H216" s="42">
        <f t="shared" si="3"/>
        <v>76.536111111111111</v>
      </c>
      <c r="I216" s="52"/>
      <c r="J216" s="20"/>
      <c r="K216" s="20"/>
      <c r="L216" s="20"/>
      <c r="M216" s="20"/>
      <c r="N216" s="20"/>
    </row>
    <row r="217" spans="1:14" x14ac:dyDescent="0.25">
      <c r="A217" s="49">
        <v>216</v>
      </c>
      <c r="B217" s="50" t="s">
        <v>221</v>
      </c>
      <c r="C217" s="37">
        <v>16.333333333333336</v>
      </c>
      <c r="D217" s="38">
        <v>17.466666666666665</v>
      </c>
      <c r="E217" s="39">
        <v>32.666666666666671</v>
      </c>
      <c r="F217" s="40">
        <v>0.55277777777777792</v>
      </c>
      <c r="G217" s="41">
        <v>17.466666666666665</v>
      </c>
      <c r="H217" s="42">
        <f t="shared" si="3"/>
        <v>84.486111111111114</v>
      </c>
      <c r="I217" s="52"/>
      <c r="J217" s="20"/>
      <c r="K217" s="20"/>
      <c r="L217" s="20"/>
      <c r="M217" s="20"/>
      <c r="N217" s="20"/>
    </row>
    <row r="218" spans="1:14" x14ac:dyDescent="0.25">
      <c r="A218" s="49">
        <v>217</v>
      </c>
      <c r="B218" s="50" t="s">
        <v>222</v>
      </c>
      <c r="C218" s="37">
        <v>0</v>
      </c>
      <c r="D218" s="38">
        <v>0</v>
      </c>
      <c r="E218" s="39">
        <v>0</v>
      </c>
      <c r="F218" s="40">
        <v>0.69583333333333341</v>
      </c>
      <c r="G218" s="41">
        <v>0</v>
      </c>
      <c r="H218" s="42">
        <f t="shared" si="3"/>
        <v>0.69583333333333341</v>
      </c>
      <c r="I218" s="52"/>
      <c r="J218" s="20"/>
      <c r="K218" s="20"/>
      <c r="L218" s="20"/>
      <c r="M218" s="20"/>
      <c r="N218" s="20"/>
    </row>
    <row r="219" spans="1:14" x14ac:dyDescent="0.25">
      <c r="A219" s="49">
        <v>218</v>
      </c>
      <c r="B219" s="50" t="s">
        <v>223</v>
      </c>
      <c r="C219" s="37">
        <v>9.7333333333333343</v>
      </c>
      <c r="D219" s="38">
        <v>11.200000000000003</v>
      </c>
      <c r="E219" s="39">
        <v>19.466666666666669</v>
      </c>
      <c r="F219" s="40">
        <v>0.44583333333333341</v>
      </c>
      <c r="G219" s="41">
        <v>11.200000000000003</v>
      </c>
      <c r="H219" s="42">
        <f t="shared" si="3"/>
        <v>52.045833333333341</v>
      </c>
      <c r="I219" s="52"/>
      <c r="J219" s="20"/>
      <c r="K219" s="20"/>
      <c r="L219" s="20"/>
      <c r="M219" s="20"/>
      <c r="N219" s="20"/>
    </row>
    <row r="220" spans="1:14" x14ac:dyDescent="0.25">
      <c r="A220" s="49">
        <v>219</v>
      </c>
      <c r="B220" s="50" t="s">
        <v>224</v>
      </c>
      <c r="C220" s="37">
        <v>9.6666666666666679</v>
      </c>
      <c r="D220" s="38">
        <v>11.466666666666669</v>
      </c>
      <c r="E220" s="39">
        <v>19.333333333333336</v>
      </c>
      <c r="F220" s="40">
        <v>0.59861111111111109</v>
      </c>
      <c r="G220" s="41">
        <v>11.466666666666669</v>
      </c>
      <c r="H220" s="42">
        <f t="shared" si="3"/>
        <v>52.531944444444449</v>
      </c>
      <c r="I220" s="52"/>
      <c r="J220" s="20"/>
      <c r="K220" s="20"/>
      <c r="L220" s="20"/>
      <c r="M220" s="20"/>
      <c r="N220" s="20"/>
    </row>
    <row r="221" spans="1:14" x14ac:dyDescent="0.25">
      <c r="A221" s="49">
        <v>220</v>
      </c>
      <c r="B221" s="50" t="s">
        <v>225</v>
      </c>
      <c r="C221" s="37">
        <v>17.533333333333335</v>
      </c>
      <c r="D221" s="38">
        <v>18.866666666666671</v>
      </c>
      <c r="E221" s="39">
        <v>35.06666666666667</v>
      </c>
      <c r="F221" s="40">
        <v>0.57638888888888895</v>
      </c>
      <c r="G221" s="41">
        <v>18.866666666666671</v>
      </c>
      <c r="H221" s="42">
        <f t="shared" si="3"/>
        <v>90.909722222222229</v>
      </c>
      <c r="I221" s="52"/>
      <c r="J221" s="20"/>
      <c r="K221" s="20"/>
      <c r="L221" s="20"/>
      <c r="M221" s="20"/>
      <c r="N221" s="20"/>
    </row>
    <row r="222" spans="1:14" x14ac:dyDescent="0.25">
      <c r="A222" s="49">
        <v>221</v>
      </c>
      <c r="B222" s="50" t="s">
        <v>226</v>
      </c>
      <c r="C222" s="37">
        <v>16.100000000000001</v>
      </c>
      <c r="D222" s="38">
        <v>15.366666666666667</v>
      </c>
      <c r="E222" s="39">
        <v>32.200000000000003</v>
      </c>
      <c r="F222" s="40">
        <v>0.79305555555555562</v>
      </c>
      <c r="G222" s="41">
        <v>15.366666666666667</v>
      </c>
      <c r="H222" s="42">
        <f t="shared" si="3"/>
        <v>79.826388888888886</v>
      </c>
      <c r="I222" s="52"/>
      <c r="J222" s="20"/>
      <c r="K222" s="20"/>
      <c r="L222" s="20"/>
      <c r="M222" s="20"/>
      <c r="N222" s="20"/>
    </row>
    <row r="223" spans="1:14" x14ac:dyDescent="0.25">
      <c r="A223" s="49">
        <v>222</v>
      </c>
      <c r="B223" s="50" t="s">
        <v>227</v>
      </c>
      <c r="C223" s="37">
        <v>10.766666666666667</v>
      </c>
      <c r="D223" s="38">
        <v>12.466666666666667</v>
      </c>
      <c r="E223" s="39">
        <v>21.533333333333335</v>
      </c>
      <c r="F223" s="40">
        <v>0.41805555555555562</v>
      </c>
      <c r="G223" s="41">
        <v>12.466666666666667</v>
      </c>
      <c r="H223" s="42">
        <f t="shared" si="3"/>
        <v>57.651388888888889</v>
      </c>
      <c r="I223" s="52"/>
      <c r="J223" s="20"/>
      <c r="K223" s="20"/>
      <c r="L223" s="20"/>
      <c r="M223" s="20"/>
      <c r="N223" s="20"/>
    </row>
    <row r="224" spans="1:14" x14ac:dyDescent="0.25">
      <c r="A224" s="49">
        <v>223</v>
      </c>
      <c r="B224" s="50" t="s">
        <v>228</v>
      </c>
      <c r="C224" s="37">
        <v>11.6</v>
      </c>
      <c r="D224" s="38">
        <v>14.633333333333335</v>
      </c>
      <c r="E224" s="39">
        <v>23.2</v>
      </c>
      <c r="F224" s="40">
        <v>0.67361111111111116</v>
      </c>
      <c r="G224" s="41">
        <v>14.633333333333335</v>
      </c>
      <c r="H224" s="42">
        <f t="shared" si="3"/>
        <v>64.740277777777791</v>
      </c>
      <c r="I224" s="52"/>
      <c r="J224" s="20"/>
      <c r="K224" s="20"/>
      <c r="L224" s="20"/>
      <c r="M224" s="20"/>
      <c r="N224" s="20"/>
    </row>
    <row r="225" spans="1:14" x14ac:dyDescent="0.25">
      <c r="A225" s="49">
        <v>224</v>
      </c>
      <c r="B225" s="50" t="s">
        <v>229</v>
      </c>
      <c r="C225" s="37">
        <v>0</v>
      </c>
      <c r="D225" s="38">
        <v>0</v>
      </c>
      <c r="E225" s="39">
        <v>0</v>
      </c>
      <c r="F225" s="40">
        <v>0.57361111111111107</v>
      </c>
      <c r="G225" s="41">
        <v>0</v>
      </c>
      <c r="H225" s="42">
        <f t="shared" si="3"/>
        <v>0.57361111111111107</v>
      </c>
      <c r="I225" s="52"/>
      <c r="J225" s="20"/>
      <c r="K225" s="20"/>
      <c r="L225" s="20"/>
      <c r="M225" s="20"/>
      <c r="N225" s="20"/>
    </row>
    <row r="226" spans="1:14" x14ac:dyDescent="0.25">
      <c r="A226" s="49">
        <v>225</v>
      </c>
      <c r="B226" s="50" t="s">
        <v>230</v>
      </c>
      <c r="C226" s="37">
        <v>2.5666666666666664</v>
      </c>
      <c r="D226" s="38">
        <v>0</v>
      </c>
      <c r="E226" s="39">
        <v>5.1333333333333329</v>
      </c>
      <c r="F226" s="40">
        <v>2.5000000000000001E-2</v>
      </c>
      <c r="G226" s="41">
        <v>0</v>
      </c>
      <c r="H226" s="42">
        <f t="shared" si="3"/>
        <v>7.7249999999999996</v>
      </c>
      <c r="I226" s="52"/>
      <c r="J226" s="20"/>
      <c r="K226" s="20"/>
      <c r="L226" s="20"/>
      <c r="M226" s="20"/>
      <c r="N226" s="20"/>
    </row>
    <row r="227" spans="1:14" x14ac:dyDescent="0.25">
      <c r="A227" s="49">
        <v>226</v>
      </c>
      <c r="B227" s="50" t="s">
        <v>231</v>
      </c>
      <c r="C227" s="37">
        <v>5.6333333333333337</v>
      </c>
      <c r="D227" s="38">
        <v>0</v>
      </c>
      <c r="E227" s="39">
        <v>11.266666666666667</v>
      </c>
      <c r="F227" s="40">
        <v>7.5000000000000011E-2</v>
      </c>
      <c r="G227" s="41">
        <v>0</v>
      </c>
      <c r="H227" s="42">
        <f t="shared" si="3"/>
        <v>16.975000000000001</v>
      </c>
      <c r="I227" s="52"/>
      <c r="J227" s="20"/>
      <c r="K227" s="20"/>
      <c r="L227" s="20"/>
      <c r="M227" s="20"/>
      <c r="N227" s="20"/>
    </row>
    <row r="228" spans="1:14" x14ac:dyDescent="0.25">
      <c r="A228" s="49">
        <v>227</v>
      </c>
      <c r="B228" s="50" t="s">
        <v>232</v>
      </c>
      <c r="C228" s="37">
        <v>5.5333333333333341</v>
      </c>
      <c r="D228" s="38">
        <v>5.3333333333333339</v>
      </c>
      <c r="E228" s="39">
        <v>11.066666666666668</v>
      </c>
      <c r="F228" s="40">
        <v>0.2013888888888889</v>
      </c>
      <c r="G228" s="41">
        <v>5.3333333333333339</v>
      </c>
      <c r="H228" s="42">
        <f t="shared" si="3"/>
        <v>27.468055555555559</v>
      </c>
      <c r="I228" s="52"/>
      <c r="J228" s="20"/>
      <c r="K228" s="20"/>
      <c r="L228" s="20"/>
      <c r="M228" s="20"/>
      <c r="N228" s="20"/>
    </row>
    <row r="229" spans="1:14" x14ac:dyDescent="0.25">
      <c r="A229" s="49">
        <v>228</v>
      </c>
      <c r="B229" s="50" t="s">
        <v>233</v>
      </c>
      <c r="C229" s="37">
        <v>9</v>
      </c>
      <c r="D229" s="38">
        <v>4.3666666666666663</v>
      </c>
      <c r="E229" s="39">
        <v>18</v>
      </c>
      <c r="F229" s="40">
        <v>7.7777777777777779E-2</v>
      </c>
      <c r="G229" s="41">
        <v>4.3666666666666663</v>
      </c>
      <c r="H229" s="42">
        <f t="shared" si="3"/>
        <v>35.81111111111111</v>
      </c>
      <c r="I229" s="52"/>
      <c r="J229" s="20"/>
      <c r="K229" s="20"/>
      <c r="L229" s="20"/>
      <c r="M229" s="20"/>
      <c r="N229" s="20"/>
    </row>
    <row r="230" spans="1:14" x14ac:dyDescent="0.25">
      <c r="A230" s="49">
        <v>229</v>
      </c>
      <c r="B230" s="50" t="s">
        <v>234</v>
      </c>
      <c r="C230" s="37">
        <v>0</v>
      </c>
      <c r="D230" s="38">
        <v>0</v>
      </c>
      <c r="E230" s="39">
        <v>0</v>
      </c>
      <c r="F230" s="40">
        <v>2.777777777777778E-2</v>
      </c>
      <c r="G230" s="41">
        <v>0</v>
      </c>
      <c r="H230" s="42">
        <f t="shared" si="3"/>
        <v>2.777777777777778E-2</v>
      </c>
      <c r="I230" s="52"/>
      <c r="J230" s="20"/>
      <c r="K230" s="20"/>
      <c r="L230" s="20"/>
      <c r="M230" s="20"/>
      <c r="N230" s="20"/>
    </row>
    <row r="231" spans="1:14" x14ac:dyDescent="0.25">
      <c r="C231" s="6"/>
      <c r="D231" s="8"/>
      <c r="E231" s="10"/>
      <c r="F231" s="12"/>
      <c r="G231" s="14"/>
      <c r="H231" s="16"/>
      <c r="I231" s="3"/>
      <c r="J231" s="20"/>
      <c r="K231" s="20"/>
      <c r="L231" s="20"/>
      <c r="M231" s="20"/>
      <c r="N231" s="20"/>
    </row>
    <row r="232" spans="1:14" x14ac:dyDescent="0.25">
      <c r="B232" s="2"/>
    </row>
  </sheetData>
  <conditionalFormatting sqref="H2:H23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230">
    <cfRule type="expression" dxfId="4" priority="2">
      <formula>I2="Ready"</formula>
    </cfRule>
    <cfRule type="expression" dxfId="3" priority="3">
      <formula>I2="Moderately Ready"</formula>
    </cfRule>
    <cfRule type="expression" dxfId="2" priority="4">
      <formula>I2="At Risk"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F6F7-D6F9-425D-A83F-8A1B57FF5053}">
  <dimension ref="A1:AG1057"/>
  <sheetViews>
    <sheetView workbookViewId="0">
      <selection activeCell="E34" sqref="E34:E35"/>
    </sheetView>
  </sheetViews>
  <sheetFormatPr defaultColWidth="12.5703125" defaultRowHeight="15" x14ac:dyDescent="0.25"/>
  <cols>
    <col min="1" max="1" width="4.7109375" customWidth="1"/>
    <col min="2" max="2" width="29.42578125" customWidth="1"/>
    <col min="3" max="3" width="12.5703125" customWidth="1"/>
    <col min="4" max="4" width="14.5703125" customWidth="1"/>
    <col min="5" max="14" width="12.5703125" customWidth="1"/>
  </cols>
  <sheetData>
    <row r="1" spans="1:33" ht="43.5" customHeight="1" x14ac:dyDescent="0.25">
      <c r="A1" s="67"/>
      <c r="B1" s="67" t="s">
        <v>254</v>
      </c>
      <c r="C1" s="67" t="s">
        <v>255</v>
      </c>
      <c r="D1" s="67" t="s">
        <v>256</v>
      </c>
      <c r="E1" s="67" t="s">
        <v>257</v>
      </c>
      <c r="F1" s="67" t="s">
        <v>258</v>
      </c>
      <c r="G1" s="67" t="s">
        <v>259</v>
      </c>
      <c r="H1" s="67" t="s">
        <v>260</v>
      </c>
      <c r="I1" s="67" t="s">
        <v>261</v>
      </c>
      <c r="J1" s="67" t="s">
        <v>262</v>
      </c>
      <c r="K1" s="67" t="s">
        <v>263</v>
      </c>
      <c r="L1" s="67" t="s">
        <v>264</v>
      </c>
      <c r="M1" s="67" t="s">
        <v>265</v>
      </c>
      <c r="N1" s="67" t="s">
        <v>266</v>
      </c>
      <c r="O1" s="67" t="s">
        <v>267</v>
      </c>
      <c r="P1" s="67" t="s">
        <v>281</v>
      </c>
      <c r="Q1" s="67" t="s">
        <v>290</v>
      </c>
      <c r="R1" s="67" t="s">
        <v>291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spans="1:33" x14ac:dyDescent="0.25">
      <c r="A2" s="68">
        <v>1</v>
      </c>
      <c r="B2" s="69" t="s">
        <v>6</v>
      </c>
      <c r="C2" s="70">
        <v>21</v>
      </c>
      <c r="D2" s="70">
        <v>21</v>
      </c>
      <c r="E2" s="70">
        <v>15</v>
      </c>
      <c r="F2" s="70">
        <v>22</v>
      </c>
      <c r="G2" s="70"/>
      <c r="H2" s="70">
        <v>20</v>
      </c>
      <c r="I2" s="70"/>
      <c r="J2" s="70">
        <v>22</v>
      </c>
      <c r="K2" s="70"/>
      <c r="L2" s="70">
        <v>23</v>
      </c>
      <c r="M2" s="70">
        <v>30</v>
      </c>
      <c r="N2" s="70">
        <v>30</v>
      </c>
      <c r="O2" s="68" t="s">
        <v>268</v>
      </c>
      <c r="P2">
        <f>SUM(C2:N2)</f>
        <v>204</v>
      </c>
      <c r="Q2">
        <f>(P2/600)*100</f>
        <v>34</v>
      </c>
      <c r="R2">
        <f>Q2*0.2</f>
        <v>6.8000000000000007</v>
      </c>
    </row>
    <row r="3" spans="1:33" x14ac:dyDescent="0.25">
      <c r="A3" s="68">
        <v>2</v>
      </c>
      <c r="B3" s="69" t="s">
        <v>7</v>
      </c>
      <c r="C3" s="70">
        <v>18</v>
      </c>
      <c r="D3" s="70">
        <v>24</v>
      </c>
      <c r="E3" s="70">
        <v>20</v>
      </c>
      <c r="F3" s="70">
        <v>29</v>
      </c>
      <c r="G3" s="70">
        <v>27</v>
      </c>
      <c r="H3" s="70">
        <v>16</v>
      </c>
      <c r="I3" s="70"/>
      <c r="J3" s="70"/>
      <c r="K3" s="70"/>
      <c r="L3" s="70"/>
      <c r="M3" s="70"/>
      <c r="N3" s="70"/>
      <c r="O3" s="68" t="s">
        <v>268</v>
      </c>
      <c r="P3">
        <f t="shared" ref="P3:P66" si="0">SUM(C3:N3)</f>
        <v>134</v>
      </c>
      <c r="Q3">
        <f t="shared" ref="Q3:Q66" si="1">(P3/600)*100</f>
        <v>22.333333333333332</v>
      </c>
      <c r="R3">
        <f t="shared" ref="R3:R66" si="2">Q3*0.2</f>
        <v>4.4666666666666668</v>
      </c>
    </row>
    <row r="4" spans="1:33" x14ac:dyDescent="0.25">
      <c r="A4" s="68">
        <v>3</v>
      </c>
      <c r="B4" s="69" t="s">
        <v>8</v>
      </c>
      <c r="C4" s="70"/>
      <c r="D4" s="70">
        <v>26</v>
      </c>
      <c r="E4" s="70">
        <v>29</v>
      </c>
      <c r="F4" s="70">
        <v>23</v>
      </c>
      <c r="G4" s="70">
        <v>24</v>
      </c>
      <c r="H4" s="70">
        <v>29</v>
      </c>
      <c r="I4" s="70">
        <v>17</v>
      </c>
      <c r="J4" s="70">
        <v>23</v>
      </c>
      <c r="K4" s="70">
        <v>25</v>
      </c>
      <c r="L4" s="70">
        <v>28</v>
      </c>
      <c r="M4" s="70">
        <v>25</v>
      </c>
      <c r="N4" s="70">
        <v>27</v>
      </c>
      <c r="O4" s="68" t="s">
        <v>268</v>
      </c>
      <c r="P4">
        <f t="shared" si="0"/>
        <v>276</v>
      </c>
      <c r="Q4">
        <f t="shared" si="1"/>
        <v>46</v>
      </c>
      <c r="R4">
        <f t="shared" si="2"/>
        <v>9.2000000000000011</v>
      </c>
    </row>
    <row r="5" spans="1:33" x14ac:dyDescent="0.25">
      <c r="A5" s="68">
        <v>4</v>
      </c>
      <c r="B5" s="69" t="s">
        <v>9</v>
      </c>
      <c r="C5" s="70"/>
      <c r="D5" s="70"/>
      <c r="E5" s="70"/>
      <c r="F5" s="70">
        <v>20</v>
      </c>
      <c r="G5" s="70">
        <v>26</v>
      </c>
      <c r="H5" s="70">
        <v>20</v>
      </c>
      <c r="I5" s="70">
        <v>20</v>
      </c>
      <c r="J5" s="70">
        <v>24</v>
      </c>
      <c r="K5" s="70">
        <v>26</v>
      </c>
      <c r="L5" s="70">
        <v>24</v>
      </c>
      <c r="M5" s="70">
        <v>22</v>
      </c>
      <c r="N5" s="70">
        <v>31</v>
      </c>
      <c r="O5" s="68" t="s">
        <v>268</v>
      </c>
      <c r="P5">
        <f t="shared" si="0"/>
        <v>213</v>
      </c>
      <c r="Q5">
        <f t="shared" si="1"/>
        <v>35.5</v>
      </c>
      <c r="R5">
        <f t="shared" si="2"/>
        <v>7.1000000000000005</v>
      </c>
    </row>
    <row r="6" spans="1:33" x14ac:dyDescent="0.25">
      <c r="A6" s="68">
        <v>5</v>
      </c>
      <c r="B6" s="69" t="s">
        <v>10</v>
      </c>
      <c r="C6" s="70"/>
      <c r="D6" s="70">
        <v>31</v>
      </c>
      <c r="E6" s="70">
        <v>16</v>
      </c>
      <c r="F6" s="70">
        <v>16</v>
      </c>
      <c r="G6" s="70">
        <v>18</v>
      </c>
      <c r="H6" s="70">
        <v>12</v>
      </c>
      <c r="I6" s="70"/>
      <c r="J6" s="70"/>
      <c r="K6" s="70"/>
      <c r="L6" s="70"/>
      <c r="M6" s="70"/>
      <c r="N6" s="70"/>
      <c r="O6" s="68" t="s">
        <v>268</v>
      </c>
      <c r="P6">
        <f t="shared" si="0"/>
        <v>93</v>
      </c>
      <c r="Q6">
        <f t="shared" si="1"/>
        <v>15.5</v>
      </c>
      <c r="R6">
        <f t="shared" si="2"/>
        <v>3.1</v>
      </c>
    </row>
    <row r="7" spans="1:33" x14ac:dyDescent="0.25">
      <c r="A7" s="68">
        <v>6</v>
      </c>
      <c r="B7" s="69" t="s">
        <v>11</v>
      </c>
      <c r="C7" s="70">
        <v>23</v>
      </c>
      <c r="D7" s="70">
        <v>24</v>
      </c>
      <c r="E7" s="70">
        <v>25</v>
      </c>
      <c r="F7" s="70">
        <v>23</v>
      </c>
      <c r="G7" s="70">
        <v>18</v>
      </c>
      <c r="H7" s="70">
        <v>17</v>
      </c>
      <c r="I7" s="70">
        <v>18</v>
      </c>
      <c r="J7" s="70"/>
      <c r="K7" s="70">
        <v>22</v>
      </c>
      <c r="L7" s="70"/>
      <c r="M7" s="70"/>
      <c r="N7" s="70"/>
      <c r="O7" s="68" t="s">
        <v>268</v>
      </c>
      <c r="P7">
        <f t="shared" si="0"/>
        <v>170</v>
      </c>
      <c r="Q7">
        <f t="shared" si="1"/>
        <v>28.333333333333332</v>
      </c>
      <c r="R7">
        <f t="shared" si="2"/>
        <v>5.666666666666667</v>
      </c>
    </row>
    <row r="8" spans="1:33" x14ac:dyDescent="0.25">
      <c r="A8" s="68">
        <v>7</v>
      </c>
      <c r="B8" s="69" t="s">
        <v>12</v>
      </c>
      <c r="C8" s="70">
        <v>28</v>
      </c>
      <c r="D8" s="70">
        <v>31</v>
      </c>
      <c r="E8" s="70">
        <v>28</v>
      </c>
      <c r="F8" s="70">
        <v>21</v>
      </c>
      <c r="G8" s="70">
        <v>21</v>
      </c>
      <c r="H8" s="70">
        <v>23</v>
      </c>
      <c r="I8" s="70">
        <v>22</v>
      </c>
      <c r="J8" s="70">
        <v>26</v>
      </c>
      <c r="K8" s="70">
        <v>16</v>
      </c>
      <c r="L8" s="70">
        <v>23</v>
      </c>
      <c r="M8" s="70"/>
      <c r="N8" s="70">
        <v>27</v>
      </c>
      <c r="O8" s="68" t="s">
        <v>268</v>
      </c>
      <c r="P8">
        <f t="shared" si="0"/>
        <v>266</v>
      </c>
      <c r="Q8">
        <f t="shared" si="1"/>
        <v>44.333333333333336</v>
      </c>
      <c r="R8">
        <f t="shared" si="2"/>
        <v>8.8666666666666671</v>
      </c>
    </row>
    <row r="9" spans="1:33" x14ac:dyDescent="0.25">
      <c r="A9" s="68">
        <v>8</v>
      </c>
      <c r="B9" s="69" t="s">
        <v>13</v>
      </c>
      <c r="C9" s="70"/>
      <c r="D9" s="70"/>
      <c r="E9" s="70">
        <v>12</v>
      </c>
      <c r="F9" s="70"/>
      <c r="G9" s="70"/>
      <c r="H9" s="70"/>
      <c r="I9" s="70"/>
      <c r="J9" s="70"/>
      <c r="K9" s="70"/>
      <c r="L9" s="70"/>
      <c r="M9" s="70"/>
      <c r="N9" s="70"/>
      <c r="O9" s="68" t="s">
        <v>268</v>
      </c>
      <c r="P9">
        <f t="shared" si="0"/>
        <v>12</v>
      </c>
      <c r="Q9">
        <f t="shared" si="1"/>
        <v>2</v>
      </c>
      <c r="R9">
        <f t="shared" si="2"/>
        <v>0.4</v>
      </c>
    </row>
    <row r="10" spans="1:33" x14ac:dyDescent="0.25">
      <c r="A10" s="68">
        <v>9</v>
      </c>
      <c r="B10" s="69" t="s">
        <v>14</v>
      </c>
      <c r="C10" s="70"/>
      <c r="D10" s="70">
        <v>26</v>
      </c>
      <c r="E10" s="70">
        <v>23</v>
      </c>
      <c r="F10" s="70"/>
      <c r="G10" s="70">
        <v>15</v>
      </c>
      <c r="H10" s="70">
        <v>18</v>
      </c>
      <c r="I10" s="70">
        <v>34</v>
      </c>
      <c r="J10" s="70">
        <v>39</v>
      </c>
      <c r="K10" s="70">
        <v>30</v>
      </c>
      <c r="L10" s="70">
        <v>25</v>
      </c>
      <c r="M10" s="70">
        <v>33</v>
      </c>
      <c r="N10" s="70">
        <v>41</v>
      </c>
      <c r="O10" s="68" t="s">
        <v>268</v>
      </c>
      <c r="P10">
        <f t="shared" si="0"/>
        <v>284</v>
      </c>
      <c r="Q10">
        <f t="shared" si="1"/>
        <v>47.333333333333336</v>
      </c>
      <c r="R10">
        <f t="shared" si="2"/>
        <v>9.4666666666666668</v>
      </c>
    </row>
    <row r="11" spans="1:33" x14ac:dyDescent="0.25">
      <c r="A11" s="68">
        <v>10</v>
      </c>
      <c r="B11" s="69" t="s">
        <v>15</v>
      </c>
      <c r="C11" s="70">
        <v>18</v>
      </c>
      <c r="D11" s="70">
        <v>20</v>
      </c>
      <c r="E11" s="70">
        <v>17</v>
      </c>
      <c r="F11" s="70">
        <v>16</v>
      </c>
      <c r="G11" s="70">
        <v>24</v>
      </c>
      <c r="H11" s="70">
        <v>20</v>
      </c>
      <c r="I11" s="70"/>
      <c r="J11" s="70"/>
      <c r="K11" s="70"/>
      <c r="L11" s="70"/>
      <c r="M11" s="70"/>
      <c r="N11" s="70"/>
      <c r="O11" s="68" t="s">
        <v>268</v>
      </c>
      <c r="P11">
        <f t="shared" si="0"/>
        <v>115</v>
      </c>
      <c r="Q11">
        <f t="shared" si="1"/>
        <v>19.166666666666668</v>
      </c>
      <c r="R11">
        <f t="shared" si="2"/>
        <v>3.8333333333333339</v>
      </c>
    </row>
    <row r="12" spans="1:33" x14ac:dyDescent="0.25">
      <c r="A12" s="68">
        <v>11</v>
      </c>
      <c r="B12" s="69" t="s">
        <v>16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68" t="s">
        <v>268</v>
      </c>
      <c r="P12">
        <f t="shared" si="0"/>
        <v>0</v>
      </c>
      <c r="Q12">
        <f t="shared" si="1"/>
        <v>0</v>
      </c>
      <c r="R12">
        <f t="shared" si="2"/>
        <v>0</v>
      </c>
    </row>
    <row r="13" spans="1:33" x14ac:dyDescent="0.25">
      <c r="A13" s="68">
        <v>12</v>
      </c>
      <c r="B13" s="69" t="s">
        <v>17</v>
      </c>
      <c r="C13" s="70">
        <v>20</v>
      </c>
      <c r="D13" s="70"/>
      <c r="E13" s="70"/>
      <c r="F13" s="70">
        <v>17</v>
      </c>
      <c r="G13" s="70">
        <v>16</v>
      </c>
      <c r="H13" s="70"/>
      <c r="I13" s="70">
        <v>16</v>
      </c>
      <c r="J13" s="70">
        <v>21</v>
      </c>
      <c r="K13" s="70">
        <v>11</v>
      </c>
      <c r="L13" s="70">
        <v>21</v>
      </c>
      <c r="M13" s="70"/>
      <c r="N13" s="70"/>
      <c r="O13" s="68" t="s">
        <v>268</v>
      </c>
      <c r="P13">
        <f t="shared" si="0"/>
        <v>122</v>
      </c>
      <c r="Q13">
        <f t="shared" si="1"/>
        <v>20.333333333333332</v>
      </c>
      <c r="R13">
        <f t="shared" si="2"/>
        <v>4.0666666666666664</v>
      </c>
    </row>
    <row r="14" spans="1:33" x14ac:dyDescent="0.25">
      <c r="A14" s="68">
        <v>13</v>
      </c>
      <c r="B14" s="69" t="s">
        <v>18</v>
      </c>
      <c r="C14" s="70">
        <v>28</v>
      </c>
      <c r="D14" s="70">
        <v>28</v>
      </c>
      <c r="E14" s="70">
        <v>29</v>
      </c>
      <c r="F14" s="70">
        <v>26</v>
      </c>
      <c r="G14" s="70">
        <v>29</v>
      </c>
      <c r="H14" s="70">
        <v>17</v>
      </c>
      <c r="I14" s="70">
        <v>18</v>
      </c>
      <c r="J14" s="70">
        <v>21</v>
      </c>
      <c r="K14" s="70">
        <v>19</v>
      </c>
      <c r="L14" s="70">
        <v>23</v>
      </c>
      <c r="M14" s="70">
        <v>19</v>
      </c>
      <c r="N14" s="70">
        <v>34</v>
      </c>
      <c r="O14" s="68" t="s">
        <v>268</v>
      </c>
      <c r="P14">
        <f t="shared" si="0"/>
        <v>291</v>
      </c>
      <c r="Q14">
        <f t="shared" si="1"/>
        <v>48.5</v>
      </c>
      <c r="R14">
        <f t="shared" si="2"/>
        <v>9.7000000000000011</v>
      </c>
    </row>
    <row r="15" spans="1:33" x14ac:dyDescent="0.25">
      <c r="A15" s="68">
        <v>14</v>
      </c>
      <c r="B15" s="69" t="s">
        <v>19</v>
      </c>
      <c r="C15" s="70">
        <v>13</v>
      </c>
      <c r="D15" s="70">
        <v>24</v>
      </c>
      <c r="E15" s="70">
        <v>17</v>
      </c>
      <c r="F15" s="70">
        <v>15</v>
      </c>
      <c r="G15" s="70"/>
      <c r="H15" s="70">
        <v>26</v>
      </c>
      <c r="I15" s="70">
        <v>18</v>
      </c>
      <c r="J15" s="70"/>
      <c r="K15" s="70">
        <v>19</v>
      </c>
      <c r="L15" s="70">
        <v>18</v>
      </c>
      <c r="M15" s="70"/>
      <c r="N15" s="70"/>
      <c r="O15" s="68" t="s">
        <v>268</v>
      </c>
      <c r="P15">
        <f t="shared" si="0"/>
        <v>150</v>
      </c>
      <c r="Q15">
        <f t="shared" si="1"/>
        <v>25</v>
      </c>
      <c r="R15">
        <f t="shared" si="2"/>
        <v>5</v>
      </c>
    </row>
    <row r="16" spans="1:33" x14ac:dyDescent="0.25">
      <c r="A16" s="68">
        <v>15</v>
      </c>
      <c r="B16" s="69" t="s">
        <v>20</v>
      </c>
      <c r="C16" s="70">
        <v>41</v>
      </c>
      <c r="D16" s="70">
        <v>35</v>
      </c>
      <c r="E16" s="70">
        <v>32</v>
      </c>
      <c r="F16" s="70">
        <v>23</v>
      </c>
      <c r="G16" s="70"/>
      <c r="H16" s="70"/>
      <c r="I16" s="70">
        <v>19</v>
      </c>
      <c r="J16" s="70">
        <v>26</v>
      </c>
      <c r="K16" s="70">
        <v>25</v>
      </c>
      <c r="L16" s="70">
        <v>20</v>
      </c>
      <c r="M16" s="70">
        <v>27</v>
      </c>
      <c r="N16" s="70">
        <v>25</v>
      </c>
      <c r="O16" s="68" t="s">
        <v>268</v>
      </c>
      <c r="P16">
        <f t="shared" si="0"/>
        <v>273</v>
      </c>
      <c r="Q16">
        <f t="shared" si="1"/>
        <v>45.5</v>
      </c>
      <c r="R16">
        <f t="shared" si="2"/>
        <v>9.1</v>
      </c>
    </row>
    <row r="17" spans="1:33" x14ac:dyDescent="0.25">
      <c r="A17" s="68">
        <v>16</v>
      </c>
      <c r="B17" s="69" t="s">
        <v>21</v>
      </c>
      <c r="C17" s="70">
        <v>16</v>
      </c>
      <c r="D17" s="70">
        <v>14</v>
      </c>
      <c r="E17" s="70">
        <v>13</v>
      </c>
      <c r="F17" s="70">
        <v>14</v>
      </c>
      <c r="G17" s="70">
        <v>15</v>
      </c>
      <c r="H17" s="70">
        <v>10</v>
      </c>
      <c r="I17" s="70">
        <v>19</v>
      </c>
      <c r="J17" s="70">
        <v>23</v>
      </c>
      <c r="K17" s="70">
        <v>16</v>
      </c>
      <c r="L17" s="70">
        <v>15</v>
      </c>
      <c r="M17" s="70">
        <v>19</v>
      </c>
      <c r="N17" s="70">
        <v>21</v>
      </c>
      <c r="O17" s="68" t="s">
        <v>268</v>
      </c>
      <c r="P17">
        <f t="shared" si="0"/>
        <v>195</v>
      </c>
      <c r="Q17">
        <f t="shared" si="1"/>
        <v>32.5</v>
      </c>
      <c r="R17">
        <f t="shared" si="2"/>
        <v>6.5</v>
      </c>
    </row>
    <row r="18" spans="1:33" x14ac:dyDescent="0.25">
      <c r="A18" s="68">
        <v>17</v>
      </c>
      <c r="B18" s="69" t="s">
        <v>22</v>
      </c>
      <c r="C18" s="70"/>
      <c r="D18" s="70">
        <v>34</v>
      </c>
      <c r="E18" s="70"/>
      <c r="F18" s="70"/>
      <c r="G18" s="70"/>
      <c r="H18" s="70"/>
      <c r="I18" s="70">
        <v>23</v>
      </c>
      <c r="J18" s="70">
        <v>33</v>
      </c>
      <c r="K18" s="70">
        <v>38</v>
      </c>
      <c r="L18" s="70">
        <v>31</v>
      </c>
      <c r="M18" s="70">
        <v>32</v>
      </c>
      <c r="N18" s="70">
        <v>38</v>
      </c>
      <c r="O18" s="68" t="s">
        <v>268</v>
      </c>
      <c r="P18">
        <f t="shared" si="0"/>
        <v>229</v>
      </c>
      <c r="Q18">
        <f t="shared" si="1"/>
        <v>38.166666666666664</v>
      </c>
      <c r="R18">
        <f t="shared" si="2"/>
        <v>7.6333333333333329</v>
      </c>
    </row>
    <row r="19" spans="1:33" x14ac:dyDescent="0.25">
      <c r="A19" s="68">
        <v>18</v>
      </c>
      <c r="B19" s="69" t="s">
        <v>23</v>
      </c>
      <c r="C19" s="70">
        <v>41</v>
      </c>
      <c r="D19" s="70">
        <v>40</v>
      </c>
      <c r="E19" s="70">
        <v>34</v>
      </c>
      <c r="F19" s="70">
        <v>38</v>
      </c>
      <c r="G19" s="70">
        <v>39</v>
      </c>
      <c r="H19" s="70">
        <v>34</v>
      </c>
      <c r="I19" s="70">
        <v>27</v>
      </c>
      <c r="J19" s="70">
        <v>40</v>
      </c>
      <c r="K19" s="70">
        <v>36</v>
      </c>
      <c r="L19" s="70">
        <v>31</v>
      </c>
      <c r="M19" s="70">
        <v>37</v>
      </c>
      <c r="N19" s="70">
        <v>32</v>
      </c>
      <c r="O19" s="68" t="s">
        <v>268</v>
      </c>
      <c r="P19">
        <f t="shared" si="0"/>
        <v>429</v>
      </c>
      <c r="Q19">
        <f t="shared" si="1"/>
        <v>71.5</v>
      </c>
      <c r="R19">
        <f t="shared" si="2"/>
        <v>14.3</v>
      </c>
    </row>
    <row r="20" spans="1:33" x14ac:dyDescent="0.25">
      <c r="A20" s="68">
        <v>19</v>
      </c>
      <c r="B20" s="69" t="s">
        <v>24</v>
      </c>
      <c r="C20" s="70"/>
      <c r="D20" s="70">
        <v>30</v>
      </c>
      <c r="E20" s="70">
        <v>15</v>
      </c>
      <c r="F20" s="70">
        <v>23</v>
      </c>
      <c r="G20" s="70">
        <v>20</v>
      </c>
      <c r="H20" s="70">
        <v>26</v>
      </c>
      <c r="I20" s="70"/>
      <c r="J20" s="70">
        <v>21</v>
      </c>
      <c r="K20" s="70"/>
      <c r="L20" s="70"/>
      <c r="M20" s="70">
        <v>17</v>
      </c>
      <c r="N20" s="70">
        <v>31</v>
      </c>
      <c r="O20" s="68" t="s">
        <v>268</v>
      </c>
      <c r="P20">
        <f t="shared" si="0"/>
        <v>183</v>
      </c>
      <c r="Q20">
        <f t="shared" si="1"/>
        <v>30.5</v>
      </c>
      <c r="R20">
        <f t="shared" si="2"/>
        <v>6.1000000000000005</v>
      </c>
    </row>
    <row r="21" spans="1:33" x14ac:dyDescent="0.25">
      <c r="A21" s="68">
        <v>20</v>
      </c>
      <c r="B21" s="69" t="s">
        <v>25</v>
      </c>
      <c r="C21" s="70">
        <v>42</v>
      </c>
      <c r="D21" s="70">
        <v>43</v>
      </c>
      <c r="E21" s="70">
        <v>44</v>
      </c>
      <c r="F21" s="70">
        <v>46</v>
      </c>
      <c r="G21" s="70">
        <v>45</v>
      </c>
      <c r="H21" s="70">
        <v>38</v>
      </c>
      <c r="I21" s="70">
        <v>39</v>
      </c>
      <c r="J21" s="70">
        <v>43</v>
      </c>
      <c r="K21" s="70">
        <v>44</v>
      </c>
      <c r="L21" s="70">
        <v>33</v>
      </c>
      <c r="M21" s="70">
        <v>41</v>
      </c>
      <c r="N21" s="70">
        <v>44</v>
      </c>
      <c r="O21" s="68" t="s">
        <v>268</v>
      </c>
      <c r="P21">
        <f t="shared" si="0"/>
        <v>502</v>
      </c>
      <c r="Q21">
        <f t="shared" si="1"/>
        <v>83.666666666666671</v>
      </c>
      <c r="R21">
        <f t="shared" si="2"/>
        <v>16.733333333333334</v>
      </c>
    </row>
    <row r="22" spans="1:33" x14ac:dyDescent="0.25">
      <c r="A22" s="68">
        <v>21</v>
      </c>
      <c r="B22" s="69" t="s">
        <v>26</v>
      </c>
      <c r="C22" s="70">
        <v>24</v>
      </c>
      <c r="D22" s="70">
        <v>29</v>
      </c>
      <c r="E22" s="70">
        <v>21</v>
      </c>
      <c r="F22" s="70">
        <v>25</v>
      </c>
      <c r="G22" s="70">
        <v>19</v>
      </c>
      <c r="H22" s="70">
        <v>21</v>
      </c>
      <c r="I22" s="70">
        <v>25</v>
      </c>
      <c r="J22" s="70">
        <v>33</v>
      </c>
      <c r="K22" s="70">
        <v>36</v>
      </c>
      <c r="L22" s="70">
        <v>22</v>
      </c>
      <c r="M22" s="70">
        <v>20</v>
      </c>
      <c r="N22" s="70">
        <v>34</v>
      </c>
      <c r="O22" s="68" t="s">
        <v>268</v>
      </c>
      <c r="P22">
        <f t="shared" si="0"/>
        <v>309</v>
      </c>
      <c r="Q22">
        <f t="shared" si="1"/>
        <v>51.5</v>
      </c>
      <c r="R22">
        <f t="shared" si="2"/>
        <v>10.3</v>
      </c>
    </row>
    <row r="23" spans="1:33" x14ac:dyDescent="0.25">
      <c r="A23" s="68">
        <v>22</v>
      </c>
      <c r="B23" s="69" t="s">
        <v>27</v>
      </c>
      <c r="C23" s="70">
        <v>25</v>
      </c>
      <c r="D23" s="70">
        <v>27</v>
      </c>
      <c r="E23" s="70">
        <v>25</v>
      </c>
      <c r="F23" s="70">
        <v>25</v>
      </c>
      <c r="G23" s="70">
        <v>24</v>
      </c>
      <c r="H23" s="70">
        <v>12</v>
      </c>
      <c r="I23" s="70"/>
      <c r="J23" s="70"/>
      <c r="K23" s="70"/>
      <c r="L23" s="70"/>
      <c r="M23" s="70"/>
      <c r="N23" s="70"/>
      <c r="O23" s="68" t="s">
        <v>268</v>
      </c>
      <c r="P23">
        <f t="shared" si="0"/>
        <v>138</v>
      </c>
      <c r="Q23">
        <f t="shared" si="1"/>
        <v>23</v>
      </c>
      <c r="R23">
        <f t="shared" si="2"/>
        <v>4.6000000000000005</v>
      </c>
    </row>
    <row r="24" spans="1:33" x14ac:dyDescent="0.25">
      <c r="A24" s="68">
        <v>23</v>
      </c>
      <c r="B24" s="69" t="s">
        <v>28</v>
      </c>
      <c r="C24" s="70">
        <v>16</v>
      </c>
      <c r="D24" s="70">
        <v>14</v>
      </c>
      <c r="E24" s="70"/>
      <c r="F24" s="70"/>
      <c r="G24" s="70"/>
      <c r="H24" s="70"/>
      <c r="I24" s="70">
        <v>20</v>
      </c>
      <c r="J24" s="70"/>
      <c r="K24" s="70"/>
      <c r="L24" s="70"/>
      <c r="M24" s="70"/>
      <c r="N24" s="70"/>
      <c r="O24" s="68" t="s">
        <v>268</v>
      </c>
      <c r="P24">
        <f t="shared" si="0"/>
        <v>50</v>
      </c>
      <c r="Q24">
        <f t="shared" si="1"/>
        <v>8.3333333333333321</v>
      </c>
      <c r="R24">
        <f t="shared" si="2"/>
        <v>1.6666666666666665</v>
      </c>
    </row>
    <row r="25" spans="1:33" x14ac:dyDescent="0.25">
      <c r="A25" s="68">
        <v>24</v>
      </c>
      <c r="B25" s="69" t="s">
        <v>29</v>
      </c>
      <c r="C25" s="70">
        <v>20</v>
      </c>
      <c r="D25" s="70">
        <v>29</v>
      </c>
      <c r="E25" s="70">
        <v>25</v>
      </c>
      <c r="F25" s="70">
        <v>18</v>
      </c>
      <c r="G25" s="70">
        <v>26</v>
      </c>
      <c r="H25" s="70">
        <v>26</v>
      </c>
      <c r="I25" s="70">
        <v>24</v>
      </c>
      <c r="J25" s="70"/>
      <c r="K25" s="70">
        <v>20</v>
      </c>
      <c r="L25" s="70">
        <v>26</v>
      </c>
      <c r="M25" s="70"/>
      <c r="N25" s="70"/>
      <c r="O25" s="68" t="s">
        <v>268</v>
      </c>
      <c r="P25">
        <f t="shared" si="0"/>
        <v>214</v>
      </c>
      <c r="Q25">
        <f t="shared" si="1"/>
        <v>35.666666666666671</v>
      </c>
      <c r="R25">
        <f t="shared" si="2"/>
        <v>7.1333333333333346</v>
      </c>
    </row>
    <row r="26" spans="1:33" x14ac:dyDescent="0.25">
      <c r="A26" s="68">
        <v>25</v>
      </c>
      <c r="B26" s="69" t="s">
        <v>30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68" t="s">
        <v>268</v>
      </c>
      <c r="P26">
        <f t="shared" si="0"/>
        <v>0</v>
      </c>
      <c r="Q26">
        <f t="shared" si="1"/>
        <v>0</v>
      </c>
      <c r="R26">
        <f t="shared" si="2"/>
        <v>0</v>
      </c>
    </row>
    <row r="27" spans="1:33" x14ac:dyDescent="0.25">
      <c r="A27" s="68">
        <v>26</v>
      </c>
      <c r="B27" s="69" t="s">
        <v>31</v>
      </c>
      <c r="C27" s="70">
        <v>38</v>
      </c>
      <c r="D27" s="70">
        <v>32</v>
      </c>
      <c r="E27" s="70">
        <v>31</v>
      </c>
      <c r="F27" s="70">
        <v>28</v>
      </c>
      <c r="G27" s="70">
        <v>34</v>
      </c>
      <c r="H27" s="70">
        <v>25</v>
      </c>
      <c r="I27" s="70">
        <v>22</v>
      </c>
      <c r="J27" s="70">
        <v>29</v>
      </c>
      <c r="K27" s="70">
        <v>27</v>
      </c>
      <c r="L27" s="70">
        <v>26</v>
      </c>
      <c r="M27" s="70">
        <v>25</v>
      </c>
      <c r="N27" s="70">
        <v>34</v>
      </c>
      <c r="O27" s="68" t="s">
        <v>268</v>
      </c>
      <c r="P27">
        <f t="shared" si="0"/>
        <v>351</v>
      </c>
      <c r="Q27">
        <f t="shared" si="1"/>
        <v>58.5</v>
      </c>
      <c r="R27">
        <f t="shared" si="2"/>
        <v>11.700000000000001</v>
      </c>
    </row>
    <row r="28" spans="1:33" x14ac:dyDescent="0.25">
      <c r="A28" s="68">
        <v>27</v>
      </c>
      <c r="B28" s="69" t="s">
        <v>32</v>
      </c>
      <c r="C28" s="70">
        <v>31</v>
      </c>
      <c r="D28" s="70">
        <v>45</v>
      </c>
      <c r="E28" s="70">
        <v>31</v>
      </c>
      <c r="F28" s="70">
        <v>31</v>
      </c>
      <c r="G28" s="70">
        <v>36</v>
      </c>
      <c r="H28" s="70">
        <v>35</v>
      </c>
      <c r="I28" s="70">
        <v>23</v>
      </c>
      <c r="J28" s="70">
        <v>37</v>
      </c>
      <c r="K28" s="70">
        <v>34</v>
      </c>
      <c r="L28" s="70">
        <v>27</v>
      </c>
      <c r="M28" s="70">
        <v>33</v>
      </c>
      <c r="N28" s="70">
        <v>38</v>
      </c>
      <c r="O28" s="68" t="s">
        <v>268</v>
      </c>
      <c r="P28">
        <f t="shared" si="0"/>
        <v>401</v>
      </c>
      <c r="Q28">
        <f t="shared" si="1"/>
        <v>66.833333333333329</v>
      </c>
      <c r="R28">
        <f t="shared" si="2"/>
        <v>13.366666666666667</v>
      </c>
    </row>
    <row r="29" spans="1:33" x14ac:dyDescent="0.25">
      <c r="A29" s="68">
        <v>28</v>
      </c>
      <c r="B29" s="69" t="s">
        <v>33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68" t="s">
        <v>268</v>
      </c>
      <c r="P29">
        <f t="shared" si="0"/>
        <v>0</v>
      </c>
      <c r="Q29">
        <f t="shared" si="1"/>
        <v>0</v>
      </c>
      <c r="R29">
        <f t="shared" si="2"/>
        <v>0</v>
      </c>
    </row>
    <row r="30" spans="1:33" x14ac:dyDescent="0.25">
      <c r="A30" s="68">
        <v>29</v>
      </c>
      <c r="B30" s="71" t="s">
        <v>34</v>
      </c>
      <c r="C30" s="72"/>
      <c r="D30" s="72">
        <v>10</v>
      </c>
      <c r="E30" s="72">
        <v>13</v>
      </c>
      <c r="F30" s="72">
        <v>16</v>
      </c>
      <c r="G30" s="72">
        <v>23</v>
      </c>
      <c r="H30" s="72">
        <v>13</v>
      </c>
      <c r="I30" s="72"/>
      <c r="J30" s="72"/>
      <c r="K30" s="72"/>
      <c r="L30" s="72"/>
      <c r="M30" s="72"/>
      <c r="N30" s="72"/>
      <c r="O30" s="73" t="s">
        <v>268</v>
      </c>
      <c r="P30">
        <f t="shared" si="0"/>
        <v>75</v>
      </c>
      <c r="Q30">
        <f t="shared" si="1"/>
        <v>12.5</v>
      </c>
      <c r="R30">
        <f t="shared" si="2"/>
        <v>2.5</v>
      </c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</row>
    <row r="31" spans="1:33" x14ac:dyDescent="0.25">
      <c r="A31" s="68">
        <v>30</v>
      </c>
      <c r="B31" s="69" t="s">
        <v>35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68" t="s">
        <v>268</v>
      </c>
      <c r="P31">
        <f t="shared" si="0"/>
        <v>0</v>
      </c>
      <c r="Q31">
        <f t="shared" si="1"/>
        <v>0</v>
      </c>
      <c r="R31">
        <f t="shared" si="2"/>
        <v>0</v>
      </c>
    </row>
    <row r="32" spans="1:33" x14ac:dyDescent="0.25">
      <c r="A32" s="68">
        <v>31</v>
      </c>
      <c r="B32" s="69" t="s">
        <v>36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68" t="s">
        <v>268</v>
      </c>
      <c r="P32">
        <f t="shared" si="0"/>
        <v>0</v>
      </c>
      <c r="Q32">
        <f t="shared" si="1"/>
        <v>0</v>
      </c>
      <c r="R32">
        <f t="shared" si="2"/>
        <v>0</v>
      </c>
    </row>
    <row r="33" spans="1:33" x14ac:dyDescent="0.25">
      <c r="A33" s="68">
        <v>32</v>
      </c>
      <c r="B33" s="69" t="s">
        <v>37</v>
      </c>
      <c r="C33" s="70">
        <v>26</v>
      </c>
      <c r="D33" s="70">
        <v>23</v>
      </c>
      <c r="E33" s="70">
        <v>28</v>
      </c>
      <c r="F33" s="70">
        <v>25</v>
      </c>
      <c r="G33" s="70">
        <v>32</v>
      </c>
      <c r="H33" s="70">
        <v>25</v>
      </c>
      <c r="I33" s="70">
        <v>13</v>
      </c>
      <c r="J33" s="70">
        <v>22</v>
      </c>
      <c r="K33" s="70"/>
      <c r="L33" s="70">
        <v>20</v>
      </c>
      <c r="M33" s="70">
        <v>13</v>
      </c>
      <c r="N33" s="70">
        <v>20</v>
      </c>
      <c r="O33" s="68" t="s">
        <v>268</v>
      </c>
      <c r="P33">
        <f t="shared" si="0"/>
        <v>247</v>
      </c>
      <c r="Q33">
        <f t="shared" si="1"/>
        <v>41.166666666666671</v>
      </c>
      <c r="R33">
        <f t="shared" si="2"/>
        <v>8.2333333333333343</v>
      </c>
    </row>
    <row r="34" spans="1:33" x14ac:dyDescent="0.25">
      <c r="A34" s="68">
        <v>33</v>
      </c>
      <c r="B34" s="69" t="s">
        <v>38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68" t="s">
        <v>268</v>
      </c>
      <c r="P34">
        <f t="shared" si="0"/>
        <v>0</v>
      </c>
      <c r="Q34">
        <f t="shared" si="1"/>
        <v>0</v>
      </c>
      <c r="R34">
        <f t="shared" si="2"/>
        <v>0</v>
      </c>
    </row>
    <row r="35" spans="1:33" x14ac:dyDescent="0.25">
      <c r="A35" s="68">
        <v>34</v>
      </c>
      <c r="B35" s="69" t="s">
        <v>39</v>
      </c>
      <c r="C35" s="70">
        <v>18</v>
      </c>
      <c r="D35" s="70">
        <v>17</v>
      </c>
      <c r="E35" s="70">
        <v>16</v>
      </c>
      <c r="F35" s="70">
        <v>20</v>
      </c>
      <c r="G35" s="70"/>
      <c r="H35" s="70">
        <v>16</v>
      </c>
      <c r="I35" s="70"/>
      <c r="J35" s="70">
        <v>25</v>
      </c>
      <c r="K35" s="70"/>
      <c r="L35" s="70">
        <v>26</v>
      </c>
      <c r="M35" s="70"/>
      <c r="N35" s="70"/>
      <c r="O35" s="68" t="s">
        <v>268</v>
      </c>
      <c r="P35">
        <f t="shared" si="0"/>
        <v>138</v>
      </c>
      <c r="Q35">
        <f t="shared" si="1"/>
        <v>23</v>
      </c>
      <c r="R35">
        <f t="shared" si="2"/>
        <v>4.6000000000000005</v>
      </c>
    </row>
    <row r="36" spans="1:33" x14ac:dyDescent="0.25">
      <c r="A36" s="68">
        <v>35</v>
      </c>
      <c r="B36" s="69" t="s">
        <v>40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68" t="s">
        <v>268</v>
      </c>
      <c r="P36">
        <f t="shared" si="0"/>
        <v>0</v>
      </c>
      <c r="Q36">
        <f t="shared" si="1"/>
        <v>0</v>
      </c>
      <c r="R36">
        <f t="shared" si="2"/>
        <v>0</v>
      </c>
    </row>
    <row r="37" spans="1:33" x14ac:dyDescent="0.25">
      <c r="A37" s="68">
        <v>36</v>
      </c>
      <c r="B37" s="71" t="s">
        <v>41</v>
      </c>
      <c r="C37" s="72">
        <v>24</v>
      </c>
      <c r="D37" s="72">
        <v>35</v>
      </c>
      <c r="E37" s="72">
        <v>23</v>
      </c>
      <c r="F37" s="72">
        <v>24</v>
      </c>
      <c r="G37" s="72">
        <v>34</v>
      </c>
      <c r="H37" s="72">
        <v>36</v>
      </c>
      <c r="I37" s="72">
        <v>32</v>
      </c>
      <c r="J37" s="72"/>
      <c r="K37" s="72"/>
      <c r="L37" s="72"/>
      <c r="M37" s="72"/>
      <c r="N37" s="72"/>
      <c r="O37" s="73" t="s">
        <v>268</v>
      </c>
      <c r="P37">
        <f t="shared" si="0"/>
        <v>208</v>
      </c>
      <c r="Q37">
        <f t="shared" si="1"/>
        <v>34.666666666666671</v>
      </c>
      <c r="R37">
        <f t="shared" si="2"/>
        <v>6.9333333333333345</v>
      </c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</row>
    <row r="38" spans="1:33" x14ac:dyDescent="0.25">
      <c r="A38" s="68">
        <v>37</v>
      </c>
      <c r="B38" s="69" t="s">
        <v>42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68" t="s">
        <v>268</v>
      </c>
      <c r="P38">
        <f t="shared" si="0"/>
        <v>0</v>
      </c>
      <c r="Q38">
        <f t="shared" si="1"/>
        <v>0</v>
      </c>
      <c r="R38">
        <f t="shared" si="2"/>
        <v>0</v>
      </c>
    </row>
    <row r="39" spans="1:33" x14ac:dyDescent="0.25">
      <c r="A39" s="68">
        <v>38</v>
      </c>
      <c r="B39" s="69" t="s">
        <v>43</v>
      </c>
      <c r="C39" s="70">
        <v>19</v>
      </c>
      <c r="D39" s="70">
        <v>34</v>
      </c>
      <c r="E39" s="70">
        <v>20</v>
      </c>
      <c r="F39" s="70">
        <v>22</v>
      </c>
      <c r="G39" s="70">
        <v>24</v>
      </c>
      <c r="H39" s="70">
        <v>15</v>
      </c>
      <c r="I39" s="70">
        <v>11</v>
      </c>
      <c r="J39" s="70">
        <v>21</v>
      </c>
      <c r="K39" s="70">
        <v>15</v>
      </c>
      <c r="L39" s="70">
        <v>18</v>
      </c>
      <c r="M39" s="70"/>
      <c r="N39" s="70"/>
      <c r="O39" s="68" t="s">
        <v>268</v>
      </c>
      <c r="P39">
        <f t="shared" si="0"/>
        <v>199</v>
      </c>
      <c r="Q39">
        <f t="shared" si="1"/>
        <v>33.166666666666664</v>
      </c>
      <c r="R39">
        <f t="shared" si="2"/>
        <v>6.6333333333333329</v>
      </c>
    </row>
    <row r="40" spans="1:33" x14ac:dyDescent="0.25">
      <c r="A40" s="68">
        <v>39</v>
      </c>
      <c r="B40" s="69" t="s">
        <v>44</v>
      </c>
      <c r="C40" s="70"/>
      <c r="D40" s="70">
        <v>25</v>
      </c>
      <c r="E40" s="70"/>
      <c r="F40" s="70"/>
      <c r="G40" s="70"/>
      <c r="H40" s="70"/>
      <c r="I40" s="70">
        <v>22</v>
      </c>
      <c r="J40" s="70">
        <v>20</v>
      </c>
      <c r="K40" s="70">
        <v>26</v>
      </c>
      <c r="L40" s="70">
        <v>28</v>
      </c>
      <c r="M40" s="70"/>
      <c r="N40" s="70"/>
      <c r="O40" s="68" t="s">
        <v>268</v>
      </c>
      <c r="P40">
        <f t="shared" si="0"/>
        <v>121</v>
      </c>
      <c r="Q40">
        <f t="shared" si="1"/>
        <v>20.166666666666664</v>
      </c>
      <c r="R40">
        <f t="shared" si="2"/>
        <v>4.0333333333333332</v>
      </c>
    </row>
    <row r="41" spans="1:33" x14ac:dyDescent="0.25">
      <c r="A41" s="68">
        <v>40</v>
      </c>
      <c r="B41" s="69" t="s">
        <v>45</v>
      </c>
      <c r="C41" s="70"/>
      <c r="D41" s="70">
        <v>42</v>
      </c>
      <c r="E41" s="70">
        <v>32</v>
      </c>
      <c r="F41" s="70">
        <v>40</v>
      </c>
      <c r="G41" s="70">
        <v>44</v>
      </c>
      <c r="H41" s="70">
        <v>23</v>
      </c>
      <c r="I41" s="70">
        <v>19</v>
      </c>
      <c r="J41" s="70">
        <v>26</v>
      </c>
      <c r="K41" s="70">
        <v>17</v>
      </c>
      <c r="L41" s="70">
        <v>22</v>
      </c>
      <c r="M41" s="70">
        <v>19</v>
      </c>
      <c r="N41" s="70">
        <v>26</v>
      </c>
      <c r="O41" s="68" t="s">
        <v>268</v>
      </c>
      <c r="P41">
        <f t="shared" si="0"/>
        <v>310</v>
      </c>
      <c r="Q41">
        <f t="shared" si="1"/>
        <v>51.666666666666671</v>
      </c>
      <c r="R41">
        <f t="shared" si="2"/>
        <v>10.333333333333336</v>
      </c>
    </row>
    <row r="42" spans="1:33" x14ac:dyDescent="0.25">
      <c r="A42" s="68">
        <v>41</v>
      </c>
      <c r="B42" s="69" t="s">
        <v>46</v>
      </c>
      <c r="C42" s="70"/>
      <c r="D42" s="70">
        <v>21</v>
      </c>
      <c r="E42" s="70">
        <v>15</v>
      </c>
      <c r="F42" s="70">
        <v>19</v>
      </c>
      <c r="G42" s="70">
        <v>24</v>
      </c>
      <c r="H42" s="70">
        <v>24</v>
      </c>
      <c r="I42" s="70">
        <v>17</v>
      </c>
      <c r="J42" s="70"/>
      <c r="K42" s="70">
        <v>24</v>
      </c>
      <c r="L42" s="70">
        <v>19</v>
      </c>
      <c r="M42" s="70"/>
      <c r="N42" s="70"/>
      <c r="O42" s="68" t="s">
        <v>268</v>
      </c>
      <c r="P42">
        <f t="shared" si="0"/>
        <v>163</v>
      </c>
      <c r="Q42">
        <f t="shared" si="1"/>
        <v>27.166666666666668</v>
      </c>
      <c r="R42">
        <f t="shared" si="2"/>
        <v>5.4333333333333336</v>
      </c>
    </row>
    <row r="43" spans="1:33" x14ac:dyDescent="0.25">
      <c r="A43" s="68">
        <v>42</v>
      </c>
      <c r="B43" s="69" t="s">
        <v>47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68" t="s">
        <v>268</v>
      </c>
      <c r="P43">
        <f t="shared" si="0"/>
        <v>0</v>
      </c>
      <c r="Q43">
        <f t="shared" si="1"/>
        <v>0</v>
      </c>
      <c r="R43">
        <f t="shared" si="2"/>
        <v>0</v>
      </c>
    </row>
    <row r="44" spans="1:33" x14ac:dyDescent="0.25">
      <c r="A44" s="68">
        <v>43</v>
      </c>
      <c r="B44" s="69" t="s">
        <v>48</v>
      </c>
      <c r="C44" s="70"/>
      <c r="D44" s="70">
        <v>24</v>
      </c>
      <c r="E44" s="70">
        <v>26</v>
      </c>
      <c r="F44" s="70">
        <v>27</v>
      </c>
      <c r="G44" s="70">
        <v>30</v>
      </c>
      <c r="H44" s="70">
        <v>29</v>
      </c>
      <c r="I44" s="70">
        <v>23</v>
      </c>
      <c r="J44" s="70">
        <v>28</v>
      </c>
      <c r="K44" s="70">
        <v>34</v>
      </c>
      <c r="L44" s="70">
        <v>33</v>
      </c>
      <c r="M44" s="70">
        <v>25</v>
      </c>
      <c r="N44" s="70">
        <v>39</v>
      </c>
      <c r="O44" s="68" t="s">
        <v>268</v>
      </c>
      <c r="P44">
        <f t="shared" si="0"/>
        <v>318</v>
      </c>
      <c r="Q44">
        <f t="shared" si="1"/>
        <v>53</v>
      </c>
      <c r="R44">
        <f t="shared" si="2"/>
        <v>10.600000000000001</v>
      </c>
    </row>
    <row r="45" spans="1:33" x14ac:dyDescent="0.25">
      <c r="A45" s="68">
        <v>44</v>
      </c>
      <c r="B45" s="69" t="s">
        <v>49</v>
      </c>
      <c r="C45" s="70">
        <v>22</v>
      </c>
      <c r="D45" s="70">
        <v>20</v>
      </c>
      <c r="E45" s="70">
        <v>18</v>
      </c>
      <c r="F45" s="70">
        <v>22</v>
      </c>
      <c r="G45" s="70">
        <v>22</v>
      </c>
      <c r="H45" s="70">
        <v>17</v>
      </c>
      <c r="I45" s="70">
        <v>15</v>
      </c>
      <c r="J45" s="70">
        <v>23</v>
      </c>
      <c r="K45" s="70">
        <v>22</v>
      </c>
      <c r="L45" s="70">
        <v>26</v>
      </c>
      <c r="M45" s="70">
        <v>18</v>
      </c>
      <c r="N45" s="70">
        <v>28</v>
      </c>
      <c r="O45" s="68" t="s">
        <v>268</v>
      </c>
      <c r="P45">
        <f t="shared" si="0"/>
        <v>253</v>
      </c>
      <c r="Q45">
        <f t="shared" si="1"/>
        <v>42.166666666666671</v>
      </c>
      <c r="R45">
        <f t="shared" si="2"/>
        <v>8.4333333333333353</v>
      </c>
    </row>
    <row r="46" spans="1:33" x14ac:dyDescent="0.25">
      <c r="A46" s="68">
        <v>45</v>
      </c>
      <c r="B46" s="69" t="s">
        <v>50</v>
      </c>
      <c r="C46" s="70">
        <v>32</v>
      </c>
      <c r="D46" s="70">
        <v>36</v>
      </c>
      <c r="E46" s="70">
        <v>28</v>
      </c>
      <c r="F46" s="70">
        <v>40</v>
      </c>
      <c r="G46" s="70">
        <v>38</v>
      </c>
      <c r="H46" s="70">
        <v>25</v>
      </c>
      <c r="I46" s="70">
        <v>15</v>
      </c>
      <c r="J46" s="70"/>
      <c r="K46" s="70">
        <v>34</v>
      </c>
      <c r="L46" s="70"/>
      <c r="M46" s="70"/>
      <c r="N46" s="70"/>
      <c r="O46" s="68" t="s">
        <v>268</v>
      </c>
      <c r="P46">
        <f t="shared" si="0"/>
        <v>248</v>
      </c>
      <c r="Q46">
        <f t="shared" si="1"/>
        <v>41.333333333333336</v>
      </c>
      <c r="R46">
        <f t="shared" si="2"/>
        <v>8.2666666666666675</v>
      </c>
    </row>
    <row r="47" spans="1:33" x14ac:dyDescent="0.25">
      <c r="A47" s="68">
        <v>46</v>
      </c>
      <c r="B47" s="69" t="s">
        <v>51</v>
      </c>
      <c r="C47" s="70">
        <v>30</v>
      </c>
      <c r="D47" s="70">
        <v>28</v>
      </c>
      <c r="E47" s="70">
        <v>26</v>
      </c>
      <c r="F47" s="70">
        <v>23</v>
      </c>
      <c r="G47" s="70">
        <v>25</v>
      </c>
      <c r="H47" s="70">
        <v>27</v>
      </c>
      <c r="I47" s="70">
        <v>16</v>
      </c>
      <c r="J47" s="70">
        <v>27</v>
      </c>
      <c r="K47" s="70">
        <v>23</v>
      </c>
      <c r="L47" s="70">
        <v>20</v>
      </c>
      <c r="M47" s="70">
        <v>24</v>
      </c>
      <c r="N47" s="70">
        <v>30</v>
      </c>
      <c r="O47" s="68" t="s">
        <v>268</v>
      </c>
      <c r="P47">
        <f t="shared" si="0"/>
        <v>299</v>
      </c>
      <c r="Q47">
        <f t="shared" si="1"/>
        <v>49.833333333333336</v>
      </c>
      <c r="R47">
        <f t="shared" si="2"/>
        <v>9.9666666666666686</v>
      </c>
    </row>
    <row r="48" spans="1:33" x14ac:dyDescent="0.25">
      <c r="A48" s="68">
        <v>47</v>
      </c>
      <c r="B48" s="69" t="s">
        <v>52</v>
      </c>
      <c r="C48" s="70"/>
      <c r="D48" s="70"/>
      <c r="E48" s="70"/>
      <c r="F48" s="70">
        <v>19</v>
      </c>
      <c r="G48" s="70">
        <v>22</v>
      </c>
      <c r="H48" s="70">
        <v>22</v>
      </c>
      <c r="I48" s="70"/>
      <c r="J48" s="70"/>
      <c r="K48" s="70"/>
      <c r="L48" s="70"/>
      <c r="M48" s="70"/>
      <c r="N48" s="70"/>
      <c r="O48" s="68" t="s">
        <v>268</v>
      </c>
      <c r="P48">
        <f t="shared" si="0"/>
        <v>63</v>
      </c>
      <c r="Q48">
        <f t="shared" si="1"/>
        <v>10.5</v>
      </c>
      <c r="R48">
        <f t="shared" si="2"/>
        <v>2.1</v>
      </c>
    </row>
    <row r="49" spans="1:33" x14ac:dyDescent="0.25">
      <c r="A49" s="68">
        <v>48</v>
      </c>
      <c r="B49" s="69" t="s">
        <v>53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68" t="s">
        <v>268</v>
      </c>
      <c r="P49">
        <f t="shared" si="0"/>
        <v>0</v>
      </c>
      <c r="Q49">
        <f t="shared" si="1"/>
        <v>0</v>
      </c>
      <c r="R49">
        <f t="shared" si="2"/>
        <v>0</v>
      </c>
    </row>
    <row r="50" spans="1:33" x14ac:dyDescent="0.25">
      <c r="A50" s="68">
        <v>49</v>
      </c>
      <c r="B50" s="69" t="s">
        <v>54</v>
      </c>
      <c r="C50" s="70">
        <v>23</v>
      </c>
      <c r="D50" s="70">
        <v>32</v>
      </c>
      <c r="E50" s="70">
        <v>20</v>
      </c>
      <c r="F50" s="70">
        <v>23</v>
      </c>
      <c r="G50" s="70">
        <v>23</v>
      </c>
      <c r="H50" s="70">
        <v>23</v>
      </c>
      <c r="I50" s="70">
        <v>22</v>
      </c>
      <c r="J50" s="70">
        <v>26</v>
      </c>
      <c r="K50" s="70">
        <v>25</v>
      </c>
      <c r="L50" s="70">
        <v>24</v>
      </c>
      <c r="M50" s="70">
        <v>19</v>
      </c>
      <c r="N50" s="70">
        <v>28</v>
      </c>
      <c r="O50" s="68" t="s">
        <v>268</v>
      </c>
      <c r="P50">
        <f t="shared" si="0"/>
        <v>288</v>
      </c>
      <c r="Q50">
        <f t="shared" si="1"/>
        <v>48</v>
      </c>
      <c r="R50">
        <f t="shared" si="2"/>
        <v>9.6000000000000014</v>
      </c>
    </row>
    <row r="51" spans="1:33" x14ac:dyDescent="0.25">
      <c r="A51" s="68">
        <v>50</v>
      </c>
      <c r="B51" s="71" t="s">
        <v>55</v>
      </c>
      <c r="C51" s="72"/>
      <c r="D51" s="72"/>
      <c r="E51" s="72"/>
      <c r="F51" s="72"/>
      <c r="G51" s="72"/>
      <c r="H51" s="72"/>
      <c r="I51" s="72">
        <v>23</v>
      </c>
      <c r="J51" s="72">
        <v>39</v>
      </c>
      <c r="K51" s="72">
        <v>40</v>
      </c>
      <c r="L51" s="72">
        <v>30</v>
      </c>
      <c r="M51" s="72">
        <v>30</v>
      </c>
      <c r="N51" s="72">
        <v>36</v>
      </c>
      <c r="O51" s="73" t="s">
        <v>268</v>
      </c>
      <c r="P51">
        <f t="shared" si="0"/>
        <v>198</v>
      </c>
      <c r="Q51">
        <f t="shared" si="1"/>
        <v>33</v>
      </c>
      <c r="R51">
        <f t="shared" si="2"/>
        <v>6.6000000000000005</v>
      </c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</row>
    <row r="52" spans="1:33" x14ac:dyDescent="0.25">
      <c r="A52" s="68">
        <v>51</v>
      </c>
      <c r="B52" s="69" t="s">
        <v>56</v>
      </c>
      <c r="C52" s="70">
        <v>24</v>
      </c>
      <c r="D52" s="70">
        <v>21</v>
      </c>
      <c r="E52" s="70">
        <v>17</v>
      </c>
      <c r="F52" s="70">
        <v>24</v>
      </c>
      <c r="G52" s="70"/>
      <c r="H52" s="70">
        <v>16</v>
      </c>
      <c r="I52" s="70"/>
      <c r="J52" s="70">
        <v>23</v>
      </c>
      <c r="K52" s="70"/>
      <c r="L52" s="70"/>
      <c r="M52" s="70">
        <v>19</v>
      </c>
      <c r="N52" s="70">
        <v>15</v>
      </c>
      <c r="O52" s="68" t="s">
        <v>268</v>
      </c>
      <c r="P52">
        <f t="shared" si="0"/>
        <v>159</v>
      </c>
      <c r="Q52">
        <f t="shared" si="1"/>
        <v>26.5</v>
      </c>
      <c r="R52">
        <f t="shared" si="2"/>
        <v>5.3000000000000007</v>
      </c>
    </row>
    <row r="53" spans="1:33" x14ac:dyDescent="0.25">
      <c r="A53" s="68">
        <v>52</v>
      </c>
      <c r="B53" s="69" t="s">
        <v>57</v>
      </c>
      <c r="C53" s="70">
        <v>14</v>
      </c>
      <c r="D53" s="70">
        <v>25</v>
      </c>
      <c r="E53" s="70">
        <v>23</v>
      </c>
      <c r="F53" s="70">
        <v>21</v>
      </c>
      <c r="G53" s="70">
        <v>21</v>
      </c>
      <c r="H53" s="70">
        <v>22</v>
      </c>
      <c r="I53" s="70"/>
      <c r="J53" s="70">
        <v>17</v>
      </c>
      <c r="K53" s="70"/>
      <c r="L53" s="70"/>
      <c r="M53" s="70">
        <v>29</v>
      </c>
      <c r="N53" s="70">
        <v>31</v>
      </c>
      <c r="O53" s="68" t="s">
        <v>268</v>
      </c>
      <c r="P53">
        <f t="shared" si="0"/>
        <v>203</v>
      </c>
      <c r="Q53">
        <f t="shared" si="1"/>
        <v>33.833333333333329</v>
      </c>
      <c r="R53">
        <f t="shared" si="2"/>
        <v>6.7666666666666657</v>
      </c>
    </row>
    <row r="54" spans="1:33" x14ac:dyDescent="0.25">
      <c r="A54" s="68">
        <v>53</v>
      </c>
      <c r="B54" s="69" t="s">
        <v>58</v>
      </c>
      <c r="C54" s="70">
        <v>21</v>
      </c>
      <c r="D54" s="70">
        <v>26</v>
      </c>
      <c r="E54" s="70">
        <v>27</v>
      </c>
      <c r="F54" s="70">
        <v>22</v>
      </c>
      <c r="G54" s="70">
        <v>36</v>
      </c>
      <c r="H54" s="70">
        <v>22</v>
      </c>
      <c r="I54" s="70"/>
      <c r="J54" s="70"/>
      <c r="K54" s="70"/>
      <c r="L54" s="70"/>
      <c r="M54" s="70"/>
      <c r="N54" s="70"/>
      <c r="O54" s="68" t="s">
        <v>268</v>
      </c>
      <c r="P54">
        <f t="shared" si="0"/>
        <v>154</v>
      </c>
      <c r="Q54">
        <f t="shared" si="1"/>
        <v>25.666666666666664</v>
      </c>
      <c r="R54">
        <f t="shared" si="2"/>
        <v>5.1333333333333329</v>
      </c>
    </row>
    <row r="55" spans="1:33" x14ac:dyDescent="0.25">
      <c r="A55" s="68">
        <v>54</v>
      </c>
      <c r="B55" s="69" t="s">
        <v>59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68" t="s">
        <v>268</v>
      </c>
      <c r="P55">
        <f t="shared" si="0"/>
        <v>0</v>
      </c>
      <c r="Q55">
        <f t="shared" si="1"/>
        <v>0</v>
      </c>
      <c r="R55">
        <f t="shared" si="2"/>
        <v>0</v>
      </c>
    </row>
    <row r="56" spans="1:33" x14ac:dyDescent="0.25">
      <c r="A56" s="68">
        <v>55</v>
      </c>
      <c r="B56" s="69" t="s">
        <v>60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68" t="s">
        <v>268</v>
      </c>
      <c r="P56">
        <f t="shared" si="0"/>
        <v>0</v>
      </c>
      <c r="Q56">
        <f t="shared" si="1"/>
        <v>0</v>
      </c>
      <c r="R56">
        <f t="shared" si="2"/>
        <v>0</v>
      </c>
    </row>
    <row r="57" spans="1:33" x14ac:dyDescent="0.25">
      <c r="A57" s="68">
        <v>56</v>
      </c>
      <c r="B57" s="69" t="s">
        <v>61</v>
      </c>
      <c r="C57" s="70">
        <v>28</v>
      </c>
      <c r="D57" s="70">
        <v>31</v>
      </c>
      <c r="E57" s="70">
        <v>24</v>
      </c>
      <c r="F57" s="70">
        <v>20</v>
      </c>
      <c r="G57" s="70">
        <v>19</v>
      </c>
      <c r="H57" s="70"/>
      <c r="I57" s="70">
        <v>17</v>
      </c>
      <c r="J57" s="70">
        <v>23</v>
      </c>
      <c r="K57" s="70">
        <v>22</v>
      </c>
      <c r="L57" s="70">
        <v>27</v>
      </c>
      <c r="M57" s="70">
        <v>22</v>
      </c>
      <c r="N57" s="70">
        <v>34</v>
      </c>
      <c r="O57" s="68" t="s">
        <v>268</v>
      </c>
      <c r="P57">
        <f t="shared" si="0"/>
        <v>267</v>
      </c>
      <c r="Q57">
        <f t="shared" si="1"/>
        <v>44.5</v>
      </c>
      <c r="R57">
        <f t="shared" si="2"/>
        <v>8.9</v>
      </c>
    </row>
    <row r="58" spans="1:33" x14ac:dyDescent="0.25">
      <c r="A58" s="68">
        <v>57</v>
      </c>
      <c r="B58" s="69" t="s">
        <v>62</v>
      </c>
      <c r="C58" s="70">
        <v>24</v>
      </c>
      <c r="D58" s="70">
        <v>22</v>
      </c>
      <c r="E58" s="70">
        <v>17</v>
      </c>
      <c r="F58" s="70"/>
      <c r="G58" s="70"/>
      <c r="H58" s="70">
        <v>20</v>
      </c>
      <c r="I58" s="70">
        <v>15</v>
      </c>
      <c r="J58" s="70">
        <v>32</v>
      </c>
      <c r="K58" s="70">
        <v>21</v>
      </c>
      <c r="L58" s="70">
        <v>29</v>
      </c>
      <c r="M58" s="70">
        <v>37</v>
      </c>
      <c r="N58" s="70">
        <v>35</v>
      </c>
      <c r="O58" s="68" t="s">
        <v>268</v>
      </c>
      <c r="P58">
        <f t="shared" si="0"/>
        <v>252</v>
      </c>
      <c r="Q58">
        <f t="shared" si="1"/>
        <v>42</v>
      </c>
      <c r="R58">
        <f t="shared" si="2"/>
        <v>8.4</v>
      </c>
    </row>
    <row r="59" spans="1:33" x14ac:dyDescent="0.25">
      <c r="A59" s="68">
        <v>58</v>
      </c>
      <c r="B59" s="69" t="s">
        <v>63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68" t="s">
        <v>268</v>
      </c>
      <c r="P59">
        <f t="shared" si="0"/>
        <v>0</v>
      </c>
      <c r="Q59">
        <f t="shared" si="1"/>
        <v>0</v>
      </c>
      <c r="R59">
        <f t="shared" si="2"/>
        <v>0</v>
      </c>
    </row>
    <row r="60" spans="1:33" x14ac:dyDescent="0.25">
      <c r="A60" s="68">
        <v>59</v>
      </c>
      <c r="B60" s="69" t="s">
        <v>64</v>
      </c>
      <c r="C60" s="70"/>
      <c r="D60" s="70">
        <v>19</v>
      </c>
      <c r="E60" s="70">
        <v>10</v>
      </c>
      <c r="F60" s="70">
        <v>22</v>
      </c>
      <c r="G60" s="70">
        <v>23</v>
      </c>
      <c r="H60" s="70">
        <v>14</v>
      </c>
      <c r="I60" s="70">
        <v>24</v>
      </c>
      <c r="J60" s="70"/>
      <c r="K60" s="70">
        <v>19</v>
      </c>
      <c r="L60" s="70">
        <v>21</v>
      </c>
      <c r="M60" s="70"/>
      <c r="N60" s="70">
        <v>26</v>
      </c>
      <c r="O60" s="68" t="s">
        <v>268</v>
      </c>
      <c r="P60">
        <f t="shared" si="0"/>
        <v>178</v>
      </c>
      <c r="Q60">
        <f t="shared" si="1"/>
        <v>29.666666666666668</v>
      </c>
      <c r="R60">
        <f t="shared" si="2"/>
        <v>5.9333333333333336</v>
      </c>
    </row>
    <row r="61" spans="1:33" x14ac:dyDescent="0.25">
      <c r="A61" s="68">
        <v>60</v>
      </c>
      <c r="B61" s="69" t="s">
        <v>65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68" t="s">
        <v>268</v>
      </c>
      <c r="P61">
        <f t="shared" si="0"/>
        <v>0</v>
      </c>
      <c r="Q61">
        <f t="shared" si="1"/>
        <v>0</v>
      </c>
      <c r="R61">
        <f t="shared" si="2"/>
        <v>0</v>
      </c>
    </row>
    <row r="62" spans="1:33" x14ac:dyDescent="0.25">
      <c r="A62" s="68">
        <v>61</v>
      </c>
      <c r="B62" s="69" t="s">
        <v>66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68" t="s">
        <v>268</v>
      </c>
      <c r="P62">
        <f t="shared" si="0"/>
        <v>0</v>
      </c>
      <c r="Q62">
        <f t="shared" si="1"/>
        <v>0</v>
      </c>
      <c r="R62">
        <f t="shared" si="2"/>
        <v>0</v>
      </c>
    </row>
    <row r="63" spans="1:33" x14ac:dyDescent="0.25">
      <c r="A63" s="68">
        <v>1</v>
      </c>
      <c r="B63" s="69" t="s">
        <v>67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68" t="s">
        <v>269</v>
      </c>
      <c r="P63">
        <f t="shared" si="0"/>
        <v>0</v>
      </c>
      <c r="Q63">
        <f t="shared" si="1"/>
        <v>0</v>
      </c>
      <c r="R63">
        <f t="shared" si="2"/>
        <v>0</v>
      </c>
    </row>
    <row r="64" spans="1:33" x14ac:dyDescent="0.25">
      <c r="A64" s="68">
        <v>2</v>
      </c>
      <c r="B64" s="69" t="s">
        <v>68</v>
      </c>
      <c r="C64" s="70"/>
      <c r="D64" s="70"/>
      <c r="E64" s="70"/>
      <c r="F64" s="70"/>
      <c r="G64" s="70"/>
      <c r="H64" s="70"/>
      <c r="I64" s="70"/>
      <c r="J64" s="70">
        <v>29</v>
      </c>
      <c r="K64" s="70"/>
      <c r="L64" s="70">
        <v>22</v>
      </c>
      <c r="M64" s="70">
        <v>20</v>
      </c>
      <c r="N64" s="70"/>
      <c r="O64" s="68" t="s">
        <v>270</v>
      </c>
      <c r="P64">
        <f t="shared" si="0"/>
        <v>71</v>
      </c>
      <c r="Q64">
        <f t="shared" si="1"/>
        <v>11.833333333333334</v>
      </c>
      <c r="R64">
        <f t="shared" si="2"/>
        <v>2.3666666666666667</v>
      </c>
    </row>
    <row r="65" spans="1:18" x14ac:dyDescent="0.25">
      <c r="A65" s="68">
        <v>3</v>
      </c>
      <c r="B65" s="69" t="s">
        <v>69</v>
      </c>
      <c r="C65" s="70">
        <v>26</v>
      </c>
      <c r="D65" s="70">
        <v>23</v>
      </c>
      <c r="E65" s="70">
        <v>28</v>
      </c>
      <c r="F65" s="70">
        <v>25</v>
      </c>
      <c r="G65" s="70">
        <v>29</v>
      </c>
      <c r="H65" s="70">
        <v>26</v>
      </c>
      <c r="I65" s="70"/>
      <c r="J65" s="70"/>
      <c r="K65" s="70"/>
      <c r="L65" s="70"/>
      <c r="M65" s="70"/>
      <c r="N65" s="70"/>
      <c r="O65" s="68" t="s">
        <v>271</v>
      </c>
      <c r="P65">
        <f t="shared" si="0"/>
        <v>157</v>
      </c>
      <c r="Q65">
        <f t="shared" si="1"/>
        <v>26.166666666666664</v>
      </c>
      <c r="R65">
        <f t="shared" si="2"/>
        <v>5.2333333333333334</v>
      </c>
    </row>
    <row r="66" spans="1:18" x14ac:dyDescent="0.25">
      <c r="A66" s="68">
        <v>4</v>
      </c>
      <c r="B66" s="69" t="s">
        <v>70</v>
      </c>
      <c r="C66" s="70">
        <v>26</v>
      </c>
      <c r="D66" s="70">
        <v>28</v>
      </c>
      <c r="E66" s="70">
        <v>19</v>
      </c>
      <c r="F66" s="70">
        <v>22</v>
      </c>
      <c r="G66" s="70">
        <v>16</v>
      </c>
      <c r="H66" s="70">
        <v>17</v>
      </c>
      <c r="I66" s="70"/>
      <c r="J66" s="70"/>
      <c r="K66" s="70"/>
      <c r="L66" s="70"/>
      <c r="M66" s="70"/>
      <c r="N66" s="70"/>
      <c r="O66" s="68" t="s">
        <v>270</v>
      </c>
      <c r="P66">
        <f t="shared" si="0"/>
        <v>128</v>
      </c>
      <c r="Q66">
        <f t="shared" si="1"/>
        <v>21.333333333333336</v>
      </c>
      <c r="R66">
        <f t="shared" si="2"/>
        <v>4.2666666666666675</v>
      </c>
    </row>
    <row r="67" spans="1:18" x14ac:dyDescent="0.25">
      <c r="A67" s="68">
        <v>1</v>
      </c>
      <c r="B67" s="69" t="s">
        <v>71</v>
      </c>
      <c r="C67" s="70">
        <v>29</v>
      </c>
      <c r="D67" s="70">
        <v>26</v>
      </c>
      <c r="E67" s="70">
        <v>19</v>
      </c>
      <c r="F67" s="70">
        <v>12</v>
      </c>
      <c r="G67" s="70"/>
      <c r="H67" s="70">
        <v>24</v>
      </c>
      <c r="I67" s="70">
        <v>25</v>
      </c>
      <c r="J67" s="70">
        <v>31</v>
      </c>
      <c r="K67" s="70">
        <v>28</v>
      </c>
      <c r="L67" s="70"/>
      <c r="M67" s="70">
        <v>15</v>
      </c>
      <c r="N67" s="70">
        <v>30</v>
      </c>
      <c r="O67" s="68" t="s">
        <v>272</v>
      </c>
      <c r="P67">
        <f t="shared" ref="P67:P130" si="3">SUM(C67:N67)</f>
        <v>239</v>
      </c>
      <c r="Q67">
        <f t="shared" ref="Q67:Q130" si="4">(P67/600)*100</f>
        <v>39.833333333333329</v>
      </c>
      <c r="R67">
        <f t="shared" ref="R67:R130" si="5">Q67*0.2</f>
        <v>7.9666666666666659</v>
      </c>
    </row>
    <row r="68" spans="1:18" x14ac:dyDescent="0.25">
      <c r="A68" s="68">
        <v>2</v>
      </c>
      <c r="B68" s="69" t="s">
        <v>72</v>
      </c>
      <c r="C68" s="70">
        <v>23</v>
      </c>
      <c r="D68" s="70">
        <v>18</v>
      </c>
      <c r="E68" s="70">
        <v>16</v>
      </c>
      <c r="F68" s="70">
        <v>24</v>
      </c>
      <c r="G68" s="70">
        <v>16</v>
      </c>
      <c r="H68" s="70">
        <v>20</v>
      </c>
      <c r="I68" s="70">
        <v>26</v>
      </c>
      <c r="J68" s="70">
        <v>14</v>
      </c>
      <c r="K68" s="70">
        <v>17</v>
      </c>
      <c r="L68" s="70">
        <v>20</v>
      </c>
      <c r="M68" s="70">
        <v>16</v>
      </c>
      <c r="N68" s="70">
        <v>22</v>
      </c>
      <c r="O68" s="68" t="s">
        <v>272</v>
      </c>
      <c r="P68">
        <f t="shared" si="3"/>
        <v>232</v>
      </c>
      <c r="Q68">
        <f t="shared" si="4"/>
        <v>38.666666666666664</v>
      </c>
      <c r="R68">
        <f t="shared" si="5"/>
        <v>7.7333333333333334</v>
      </c>
    </row>
    <row r="69" spans="1:18" x14ac:dyDescent="0.25">
      <c r="A69" s="68">
        <v>3</v>
      </c>
      <c r="B69" s="69" t="s">
        <v>73</v>
      </c>
      <c r="C69" s="70">
        <v>23</v>
      </c>
      <c r="D69" s="70">
        <v>26</v>
      </c>
      <c r="E69" s="70">
        <v>13</v>
      </c>
      <c r="F69" s="70"/>
      <c r="G69" s="70">
        <v>18</v>
      </c>
      <c r="H69" s="70">
        <v>23</v>
      </c>
      <c r="I69" s="70">
        <v>29</v>
      </c>
      <c r="J69" s="70">
        <v>30</v>
      </c>
      <c r="K69" s="70">
        <v>29</v>
      </c>
      <c r="L69" s="70">
        <v>28</v>
      </c>
      <c r="M69" s="70">
        <v>25</v>
      </c>
      <c r="N69" s="70">
        <v>30</v>
      </c>
      <c r="O69" s="68" t="s">
        <v>272</v>
      </c>
      <c r="P69">
        <f t="shared" si="3"/>
        <v>274</v>
      </c>
      <c r="Q69">
        <f t="shared" si="4"/>
        <v>45.666666666666664</v>
      </c>
      <c r="R69">
        <f t="shared" si="5"/>
        <v>9.1333333333333329</v>
      </c>
    </row>
    <row r="70" spans="1:18" x14ac:dyDescent="0.25">
      <c r="A70" s="68">
        <v>4</v>
      </c>
      <c r="B70" s="69" t="s">
        <v>74</v>
      </c>
      <c r="C70" s="70">
        <v>30</v>
      </c>
      <c r="D70" s="70">
        <v>27</v>
      </c>
      <c r="E70" s="70">
        <v>25</v>
      </c>
      <c r="F70" s="70"/>
      <c r="G70" s="70">
        <v>29</v>
      </c>
      <c r="H70" s="70"/>
      <c r="I70" s="70">
        <v>16</v>
      </c>
      <c r="J70" s="70"/>
      <c r="K70" s="70">
        <v>29</v>
      </c>
      <c r="L70" s="70">
        <v>22</v>
      </c>
      <c r="M70" s="70">
        <v>25</v>
      </c>
      <c r="N70" s="70"/>
      <c r="O70" s="68" t="s">
        <v>272</v>
      </c>
      <c r="P70">
        <f t="shared" si="3"/>
        <v>203</v>
      </c>
      <c r="Q70">
        <f t="shared" si="4"/>
        <v>33.833333333333329</v>
      </c>
      <c r="R70">
        <f t="shared" si="5"/>
        <v>6.7666666666666657</v>
      </c>
    </row>
    <row r="71" spans="1:18" x14ac:dyDescent="0.25">
      <c r="A71" s="68">
        <v>5</v>
      </c>
      <c r="B71" s="69" t="s">
        <v>75</v>
      </c>
      <c r="C71" s="70">
        <v>47</v>
      </c>
      <c r="D71" s="70">
        <v>33</v>
      </c>
      <c r="E71" s="70">
        <v>44</v>
      </c>
      <c r="F71" s="70">
        <v>47</v>
      </c>
      <c r="G71" s="70">
        <v>46</v>
      </c>
      <c r="H71" s="70">
        <v>41</v>
      </c>
      <c r="I71" s="70">
        <v>36</v>
      </c>
      <c r="J71" s="70">
        <v>43</v>
      </c>
      <c r="K71" s="70">
        <v>44</v>
      </c>
      <c r="L71" s="70">
        <v>32</v>
      </c>
      <c r="M71" s="70"/>
      <c r="N71" s="70"/>
      <c r="O71" s="68" t="s">
        <v>272</v>
      </c>
      <c r="P71">
        <f t="shared" si="3"/>
        <v>413</v>
      </c>
      <c r="Q71">
        <f t="shared" si="4"/>
        <v>68.833333333333329</v>
      </c>
      <c r="R71">
        <f t="shared" si="5"/>
        <v>13.766666666666666</v>
      </c>
    </row>
    <row r="72" spans="1:18" x14ac:dyDescent="0.25">
      <c r="A72" s="68">
        <v>6</v>
      </c>
      <c r="B72" s="69" t="s">
        <v>76</v>
      </c>
      <c r="C72" s="70">
        <v>25</v>
      </c>
      <c r="D72" s="70">
        <v>15</v>
      </c>
      <c r="E72" s="70">
        <v>34</v>
      </c>
      <c r="F72" s="70">
        <v>36</v>
      </c>
      <c r="G72" s="70">
        <v>41</v>
      </c>
      <c r="H72" s="70">
        <v>15</v>
      </c>
      <c r="I72" s="70">
        <v>18</v>
      </c>
      <c r="J72" s="70">
        <v>29</v>
      </c>
      <c r="K72" s="70">
        <v>32</v>
      </c>
      <c r="L72" s="70">
        <v>18</v>
      </c>
      <c r="M72" s="70">
        <v>15</v>
      </c>
      <c r="N72" s="70">
        <v>22</v>
      </c>
      <c r="O72" s="68" t="s">
        <v>272</v>
      </c>
      <c r="P72">
        <f t="shared" si="3"/>
        <v>300</v>
      </c>
      <c r="Q72">
        <f t="shared" si="4"/>
        <v>50</v>
      </c>
      <c r="R72">
        <f t="shared" si="5"/>
        <v>10</v>
      </c>
    </row>
    <row r="73" spans="1:18" x14ac:dyDescent="0.25">
      <c r="A73" s="68">
        <v>7</v>
      </c>
      <c r="B73" s="69" t="s">
        <v>77</v>
      </c>
      <c r="C73" s="70">
        <v>41</v>
      </c>
      <c r="D73" s="70">
        <v>39</v>
      </c>
      <c r="E73" s="70">
        <v>42</v>
      </c>
      <c r="F73" s="70">
        <v>46</v>
      </c>
      <c r="G73" s="70">
        <v>45</v>
      </c>
      <c r="H73" s="70">
        <v>31</v>
      </c>
      <c r="I73" s="70">
        <v>39</v>
      </c>
      <c r="J73" s="70">
        <v>45</v>
      </c>
      <c r="K73" s="70">
        <v>43</v>
      </c>
      <c r="L73" s="70">
        <v>34</v>
      </c>
      <c r="M73" s="70">
        <v>35</v>
      </c>
      <c r="N73" s="70">
        <v>44</v>
      </c>
      <c r="O73" s="68" t="s">
        <v>272</v>
      </c>
      <c r="P73">
        <f t="shared" si="3"/>
        <v>484</v>
      </c>
      <c r="Q73">
        <f t="shared" si="4"/>
        <v>80.666666666666657</v>
      </c>
      <c r="R73">
        <f t="shared" si="5"/>
        <v>16.133333333333333</v>
      </c>
    </row>
    <row r="74" spans="1:18" x14ac:dyDescent="0.25">
      <c r="A74" s="68">
        <v>8</v>
      </c>
      <c r="B74" s="69" t="s">
        <v>78</v>
      </c>
      <c r="C74" s="70"/>
      <c r="D74" s="70"/>
      <c r="E74" s="70"/>
      <c r="F74" s="70"/>
      <c r="G74" s="70"/>
      <c r="H74" s="70"/>
      <c r="I74" s="70">
        <v>24</v>
      </c>
      <c r="J74" s="70">
        <v>20</v>
      </c>
      <c r="K74" s="70">
        <v>17</v>
      </c>
      <c r="L74" s="70">
        <v>22</v>
      </c>
      <c r="M74" s="70">
        <v>30</v>
      </c>
      <c r="N74" s="70">
        <v>26</v>
      </c>
      <c r="O74" s="68" t="s">
        <v>272</v>
      </c>
      <c r="P74">
        <f t="shared" si="3"/>
        <v>139</v>
      </c>
      <c r="Q74">
        <f t="shared" si="4"/>
        <v>23.166666666666664</v>
      </c>
      <c r="R74">
        <f t="shared" si="5"/>
        <v>4.6333333333333329</v>
      </c>
    </row>
    <row r="75" spans="1:18" x14ac:dyDescent="0.25">
      <c r="A75" s="68">
        <v>9</v>
      </c>
      <c r="B75" s="69" t="s">
        <v>79</v>
      </c>
      <c r="C75" s="70">
        <v>21</v>
      </c>
      <c r="D75" s="70">
        <v>31</v>
      </c>
      <c r="E75" s="70">
        <v>15</v>
      </c>
      <c r="F75" s="70">
        <v>19</v>
      </c>
      <c r="G75" s="70">
        <v>20</v>
      </c>
      <c r="H75" s="70">
        <v>19</v>
      </c>
      <c r="I75" s="70"/>
      <c r="J75" s="70">
        <v>22</v>
      </c>
      <c r="K75" s="70"/>
      <c r="L75" s="70">
        <v>18</v>
      </c>
      <c r="M75" s="70">
        <v>13</v>
      </c>
      <c r="N75" s="70">
        <v>26</v>
      </c>
      <c r="O75" s="68" t="s">
        <v>272</v>
      </c>
      <c r="P75">
        <f t="shared" si="3"/>
        <v>204</v>
      </c>
      <c r="Q75">
        <f t="shared" si="4"/>
        <v>34</v>
      </c>
      <c r="R75">
        <f t="shared" si="5"/>
        <v>6.8000000000000007</v>
      </c>
    </row>
    <row r="76" spans="1:18" x14ac:dyDescent="0.25">
      <c r="A76" s="68">
        <v>10</v>
      </c>
      <c r="B76" s="69" t="s">
        <v>80</v>
      </c>
      <c r="C76" s="70">
        <v>37</v>
      </c>
      <c r="D76" s="70">
        <v>30</v>
      </c>
      <c r="E76" s="70">
        <v>35</v>
      </c>
      <c r="F76" s="70">
        <v>31</v>
      </c>
      <c r="G76" s="70">
        <v>41</v>
      </c>
      <c r="H76" s="70">
        <v>24</v>
      </c>
      <c r="I76" s="70">
        <v>13</v>
      </c>
      <c r="J76" s="70">
        <v>30</v>
      </c>
      <c r="K76" s="70">
        <v>25</v>
      </c>
      <c r="L76" s="70">
        <v>20</v>
      </c>
      <c r="M76" s="70">
        <v>28</v>
      </c>
      <c r="N76" s="70">
        <v>27</v>
      </c>
      <c r="O76" s="68" t="s">
        <v>272</v>
      </c>
      <c r="P76">
        <f t="shared" si="3"/>
        <v>341</v>
      </c>
      <c r="Q76">
        <f t="shared" si="4"/>
        <v>56.833333333333336</v>
      </c>
      <c r="R76">
        <f t="shared" si="5"/>
        <v>11.366666666666667</v>
      </c>
    </row>
    <row r="77" spans="1:18" x14ac:dyDescent="0.25">
      <c r="A77" s="68">
        <v>11</v>
      </c>
      <c r="B77" s="69" t="s">
        <v>81</v>
      </c>
      <c r="C77" s="70"/>
      <c r="D77" s="70">
        <v>29</v>
      </c>
      <c r="E77" s="70">
        <v>21</v>
      </c>
      <c r="F77" s="70">
        <v>18</v>
      </c>
      <c r="G77" s="70">
        <v>15</v>
      </c>
      <c r="H77" s="70">
        <v>17</v>
      </c>
      <c r="I77" s="70"/>
      <c r="J77" s="70"/>
      <c r="K77" s="70"/>
      <c r="L77" s="70"/>
      <c r="M77" s="70"/>
      <c r="N77" s="70"/>
      <c r="O77" s="68" t="s">
        <v>272</v>
      </c>
      <c r="P77">
        <f t="shared" si="3"/>
        <v>100</v>
      </c>
      <c r="Q77">
        <f t="shared" si="4"/>
        <v>16.666666666666664</v>
      </c>
      <c r="R77">
        <f t="shared" si="5"/>
        <v>3.333333333333333</v>
      </c>
    </row>
    <row r="78" spans="1:18" x14ac:dyDescent="0.25">
      <c r="A78" s="68">
        <v>12</v>
      </c>
      <c r="B78" s="69" t="s">
        <v>82</v>
      </c>
      <c r="C78" s="70">
        <v>31</v>
      </c>
      <c r="D78" s="70">
        <v>28</v>
      </c>
      <c r="E78" s="70">
        <v>22</v>
      </c>
      <c r="F78" s="70">
        <v>23</v>
      </c>
      <c r="G78" s="70">
        <v>25</v>
      </c>
      <c r="H78" s="70">
        <v>16</v>
      </c>
      <c r="I78" s="70">
        <v>18</v>
      </c>
      <c r="J78" s="70">
        <v>28</v>
      </c>
      <c r="K78" s="70">
        <v>32</v>
      </c>
      <c r="L78" s="70">
        <v>22</v>
      </c>
      <c r="M78" s="70">
        <v>21</v>
      </c>
      <c r="N78" s="70">
        <v>25</v>
      </c>
      <c r="O78" s="68" t="s">
        <v>272</v>
      </c>
      <c r="P78">
        <f t="shared" si="3"/>
        <v>291</v>
      </c>
      <c r="Q78">
        <f t="shared" si="4"/>
        <v>48.5</v>
      </c>
      <c r="R78">
        <f t="shared" si="5"/>
        <v>9.7000000000000011</v>
      </c>
    </row>
    <row r="79" spans="1:18" x14ac:dyDescent="0.25">
      <c r="A79" s="68">
        <v>13</v>
      </c>
      <c r="B79" s="69" t="s">
        <v>83</v>
      </c>
      <c r="C79" s="70">
        <v>23</v>
      </c>
      <c r="D79" s="70">
        <v>10</v>
      </c>
      <c r="E79" s="70">
        <v>16</v>
      </c>
      <c r="F79" s="70">
        <v>16</v>
      </c>
      <c r="G79" s="70">
        <v>21</v>
      </c>
      <c r="H79" s="70">
        <v>16</v>
      </c>
      <c r="I79" s="70">
        <v>18</v>
      </c>
      <c r="J79" s="70">
        <v>17</v>
      </c>
      <c r="K79" s="70">
        <v>14</v>
      </c>
      <c r="L79" s="70">
        <v>14</v>
      </c>
      <c r="M79" s="70">
        <v>11</v>
      </c>
      <c r="N79" s="70">
        <v>18</v>
      </c>
      <c r="O79" s="68" t="s">
        <v>272</v>
      </c>
      <c r="P79">
        <f t="shared" si="3"/>
        <v>194</v>
      </c>
      <c r="Q79">
        <f t="shared" si="4"/>
        <v>32.333333333333329</v>
      </c>
      <c r="R79">
        <f t="shared" si="5"/>
        <v>6.4666666666666659</v>
      </c>
    </row>
    <row r="80" spans="1:18" x14ac:dyDescent="0.25">
      <c r="A80" s="68">
        <v>14</v>
      </c>
      <c r="B80" s="69" t="s">
        <v>84</v>
      </c>
      <c r="C80" s="70">
        <v>47</v>
      </c>
      <c r="D80" s="70">
        <v>36</v>
      </c>
      <c r="E80" s="70">
        <v>35</v>
      </c>
      <c r="F80" s="70">
        <v>49</v>
      </c>
      <c r="G80" s="70">
        <v>48</v>
      </c>
      <c r="H80" s="70">
        <v>30</v>
      </c>
      <c r="I80" s="70">
        <v>37</v>
      </c>
      <c r="J80" s="70">
        <v>44</v>
      </c>
      <c r="K80" s="70">
        <v>42</v>
      </c>
      <c r="L80" s="70">
        <v>33</v>
      </c>
      <c r="M80" s="70">
        <v>38</v>
      </c>
      <c r="N80" s="70">
        <v>45</v>
      </c>
      <c r="O80" s="68" t="s">
        <v>272</v>
      </c>
      <c r="P80">
        <f t="shared" si="3"/>
        <v>484</v>
      </c>
      <c r="Q80">
        <f t="shared" si="4"/>
        <v>80.666666666666657</v>
      </c>
      <c r="R80">
        <f t="shared" si="5"/>
        <v>16.133333333333333</v>
      </c>
    </row>
    <row r="81" spans="1:18" x14ac:dyDescent="0.25">
      <c r="A81" s="68">
        <v>15</v>
      </c>
      <c r="B81" s="69" t="s">
        <v>85</v>
      </c>
      <c r="C81" s="70">
        <v>35</v>
      </c>
      <c r="D81" s="70">
        <v>29</v>
      </c>
      <c r="E81" s="70">
        <v>26</v>
      </c>
      <c r="F81" s="70">
        <v>28</v>
      </c>
      <c r="G81" s="70">
        <v>33</v>
      </c>
      <c r="H81" s="70">
        <v>24</v>
      </c>
      <c r="I81" s="70">
        <v>34</v>
      </c>
      <c r="J81" s="70">
        <v>42</v>
      </c>
      <c r="K81" s="70">
        <v>37</v>
      </c>
      <c r="L81" s="70">
        <v>32</v>
      </c>
      <c r="M81" s="70">
        <v>41</v>
      </c>
      <c r="N81" s="70">
        <v>38</v>
      </c>
      <c r="O81" s="68" t="s">
        <v>272</v>
      </c>
      <c r="P81">
        <f t="shared" si="3"/>
        <v>399</v>
      </c>
      <c r="Q81">
        <f t="shared" si="4"/>
        <v>66.5</v>
      </c>
      <c r="R81">
        <f t="shared" si="5"/>
        <v>13.3</v>
      </c>
    </row>
    <row r="82" spans="1:18" x14ac:dyDescent="0.25">
      <c r="A82" s="68">
        <v>16</v>
      </c>
      <c r="B82" s="69" t="s">
        <v>86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68" t="s">
        <v>272</v>
      </c>
      <c r="P82">
        <f t="shared" si="3"/>
        <v>0</v>
      </c>
      <c r="Q82">
        <f t="shared" si="4"/>
        <v>0</v>
      </c>
      <c r="R82">
        <f t="shared" si="5"/>
        <v>0</v>
      </c>
    </row>
    <row r="83" spans="1:18" x14ac:dyDescent="0.25">
      <c r="A83" s="68">
        <v>17</v>
      </c>
      <c r="B83" s="69" t="s">
        <v>87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68" t="s">
        <v>272</v>
      </c>
      <c r="P83">
        <f t="shared" si="3"/>
        <v>0</v>
      </c>
      <c r="Q83">
        <f t="shared" si="4"/>
        <v>0</v>
      </c>
      <c r="R83">
        <f t="shared" si="5"/>
        <v>0</v>
      </c>
    </row>
    <row r="84" spans="1:18" x14ac:dyDescent="0.25">
      <c r="A84" s="68">
        <v>18</v>
      </c>
      <c r="B84" s="69" t="s">
        <v>88</v>
      </c>
      <c r="C84" s="70">
        <v>45</v>
      </c>
      <c r="D84" s="70">
        <v>46</v>
      </c>
      <c r="E84" s="70">
        <v>47</v>
      </c>
      <c r="F84" s="70">
        <v>50</v>
      </c>
      <c r="G84" s="70">
        <v>48</v>
      </c>
      <c r="H84" s="70">
        <v>46</v>
      </c>
      <c r="I84" s="70">
        <v>37</v>
      </c>
      <c r="J84" s="70">
        <v>45</v>
      </c>
      <c r="K84" s="70">
        <v>42</v>
      </c>
      <c r="L84" s="70">
        <v>33</v>
      </c>
      <c r="M84" s="70">
        <v>39</v>
      </c>
      <c r="N84" s="70">
        <v>42</v>
      </c>
      <c r="O84" s="68" t="s">
        <v>272</v>
      </c>
      <c r="P84">
        <f t="shared" si="3"/>
        <v>520</v>
      </c>
      <c r="Q84">
        <f t="shared" si="4"/>
        <v>86.666666666666671</v>
      </c>
      <c r="R84">
        <f t="shared" si="5"/>
        <v>17.333333333333336</v>
      </c>
    </row>
    <row r="85" spans="1:18" x14ac:dyDescent="0.25">
      <c r="A85" s="68">
        <v>19</v>
      </c>
      <c r="B85" s="69" t="s">
        <v>89</v>
      </c>
      <c r="C85" s="70">
        <v>16</v>
      </c>
      <c r="D85" s="70">
        <v>16</v>
      </c>
      <c r="E85" s="70">
        <v>18</v>
      </c>
      <c r="F85" s="70">
        <v>17</v>
      </c>
      <c r="G85" s="70">
        <v>19</v>
      </c>
      <c r="H85" s="70">
        <v>17</v>
      </c>
      <c r="I85" s="70">
        <v>13</v>
      </c>
      <c r="J85" s="70">
        <v>16</v>
      </c>
      <c r="K85" s="70">
        <v>13</v>
      </c>
      <c r="L85" s="70">
        <v>15</v>
      </c>
      <c r="M85" s="70">
        <v>10</v>
      </c>
      <c r="N85" s="70">
        <v>16</v>
      </c>
      <c r="O85" s="68" t="s">
        <v>272</v>
      </c>
      <c r="P85">
        <f t="shared" si="3"/>
        <v>186</v>
      </c>
      <c r="Q85">
        <f t="shared" si="4"/>
        <v>31</v>
      </c>
      <c r="R85">
        <f t="shared" si="5"/>
        <v>6.2</v>
      </c>
    </row>
    <row r="86" spans="1:18" x14ac:dyDescent="0.25">
      <c r="A86" s="68">
        <v>20</v>
      </c>
      <c r="B86" s="69" t="s">
        <v>90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68" t="s">
        <v>272</v>
      </c>
      <c r="P86">
        <f t="shared" si="3"/>
        <v>0</v>
      </c>
      <c r="Q86">
        <f t="shared" si="4"/>
        <v>0</v>
      </c>
      <c r="R86">
        <f t="shared" si="5"/>
        <v>0</v>
      </c>
    </row>
    <row r="87" spans="1:18" x14ac:dyDescent="0.25">
      <c r="A87" s="68">
        <v>21</v>
      </c>
      <c r="B87" s="69" t="s">
        <v>91</v>
      </c>
      <c r="C87" s="70">
        <v>37</v>
      </c>
      <c r="D87" s="70">
        <v>37</v>
      </c>
      <c r="E87" s="70">
        <v>38</v>
      </c>
      <c r="F87" s="70">
        <v>42</v>
      </c>
      <c r="G87" s="70">
        <v>45</v>
      </c>
      <c r="H87" s="70">
        <v>31</v>
      </c>
      <c r="I87" s="70">
        <v>21</v>
      </c>
      <c r="J87" s="70">
        <v>39</v>
      </c>
      <c r="K87" s="70">
        <v>35</v>
      </c>
      <c r="L87" s="70">
        <v>31</v>
      </c>
      <c r="M87" s="70">
        <v>24</v>
      </c>
      <c r="N87" s="70">
        <v>35</v>
      </c>
      <c r="O87" s="68" t="s">
        <v>272</v>
      </c>
      <c r="P87">
        <f t="shared" si="3"/>
        <v>415</v>
      </c>
      <c r="Q87">
        <f t="shared" si="4"/>
        <v>69.166666666666671</v>
      </c>
      <c r="R87">
        <f t="shared" si="5"/>
        <v>13.833333333333336</v>
      </c>
    </row>
    <row r="88" spans="1:18" x14ac:dyDescent="0.25">
      <c r="A88" s="68">
        <v>22</v>
      </c>
      <c r="B88" s="69" t="s">
        <v>92</v>
      </c>
      <c r="C88" s="70">
        <v>37</v>
      </c>
      <c r="D88" s="70">
        <v>42</v>
      </c>
      <c r="E88" s="70">
        <v>40</v>
      </c>
      <c r="F88" s="70">
        <v>24</v>
      </c>
      <c r="G88" s="70">
        <v>24</v>
      </c>
      <c r="H88" s="70">
        <v>27</v>
      </c>
      <c r="I88" s="70">
        <v>9</v>
      </c>
      <c r="J88" s="70"/>
      <c r="K88" s="70"/>
      <c r="L88" s="70"/>
      <c r="M88" s="70"/>
      <c r="N88" s="70"/>
      <c r="O88" s="68" t="s">
        <v>272</v>
      </c>
      <c r="P88">
        <f t="shared" si="3"/>
        <v>203</v>
      </c>
      <c r="Q88">
        <f t="shared" si="4"/>
        <v>33.833333333333329</v>
      </c>
      <c r="R88">
        <f t="shared" si="5"/>
        <v>6.7666666666666657</v>
      </c>
    </row>
    <row r="89" spans="1:18" x14ac:dyDescent="0.25">
      <c r="A89" s="68">
        <v>23</v>
      </c>
      <c r="B89" s="69" t="s">
        <v>93</v>
      </c>
      <c r="C89" s="70">
        <v>19</v>
      </c>
      <c r="D89" s="70">
        <v>19</v>
      </c>
      <c r="E89" s="70">
        <v>8</v>
      </c>
      <c r="F89" s="70">
        <v>19</v>
      </c>
      <c r="G89" s="70">
        <v>10</v>
      </c>
      <c r="H89" s="70">
        <v>19</v>
      </c>
      <c r="I89" s="70"/>
      <c r="J89" s="70"/>
      <c r="K89" s="70"/>
      <c r="L89" s="70"/>
      <c r="M89" s="70"/>
      <c r="N89" s="70"/>
      <c r="O89" s="68" t="s">
        <v>272</v>
      </c>
      <c r="P89">
        <f t="shared" si="3"/>
        <v>94</v>
      </c>
      <c r="Q89">
        <f t="shared" si="4"/>
        <v>15.666666666666668</v>
      </c>
      <c r="R89">
        <f t="shared" si="5"/>
        <v>3.1333333333333337</v>
      </c>
    </row>
    <row r="90" spans="1:18" x14ac:dyDescent="0.25">
      <c r="A90" s="68">
        <v>24</v>
      </c>
      <c r="B90" s="69" t="s">
        <v>94</v>
      </c>
      <c r="C90" s="70">
        <v>41</v>
      </c>
      <c r="D90" s="70">
        <v>44</v>
      </c>
      <c r="E90" s="70">
        <v>46</v>
      </c>
      <c r="F90" s="70">
        <v>45</v>
      </c>
      <c r="G90" s="70">
        <v>43</v>
      </c>
      <c r="H90" s="70">
        <v>36</v>
      </c>
      <c r="I90" s="70">
        <v>36</v>
      </c>
      <c r="J90" s="70">
        <v>42</v>
      </c>
      <c r="K90" s="70">
        <v>41</v>
      </c>
      <c r="L90" s="70">
        <v>33</v>
      </c>
      <c r="M90" s="70">
        <v>36</v>
      </c>
      <c r="N90" s="70">
        <v>42</v>
      </c>
      <c r="O90" s="68" t="s">
        <v>272</v>
      </c>
      <c r="P90">
        <f t="shared" si="3"/>
        <v>485</v>
      </c>
      <c r="Q90">
        <f t="shared" si="4"/>
        <v>80.833333333333329</v>
      </c>
      <c r="R90">
        <f t="shared" si="5"/>
        <v>16.166666666666668</v>
      </c>
    </row>
    <row r="91" spans="1:18" x14ac:dyDescent="0.25">
      <c r="A91" s="68">
        <v>25</v>
      </c>
      <c r="B91" s="69" t="s">
        <v>95</v>
      </c>
      <c r="C91" s="70">
        <v>44</v>
      </c>
      <c r="D91" s="70">
        <v>41</v>
      </c>
      <c r="E91" s="70">
        <v>46</v>
      </c>
      <c r="F91" s="70">
        <v>43</v>
      </c>
      <c r="G91" s="70">
        <v>47</v>
      </c>
      <c r="H91" s="70">
        <v>44</v>
      </c>
      <c r="I91" s="70"/>
      <c r="J91" s="70">
        <v>45</v>
      </c>
      <c r="K91" s="70">
        <v>44</v>
      </c>
      <c r="L91" s="70">
        <v>36</v>
      </c>
      <c r="M91" s="70">
        <v>38</v>
      </c>
      <c r="N91" s="70">
        <v>44</v>
      </c>
      <c r="O91" s="68" t="s">
        <v>272</v>
      </c>
      <c r="P91">
        <f t="shared" si="3"/>
        <v>472</v>
      </c>
      <c r="Q91">
        <f t="shared" si="4"/>
        <v>78.666666666666657</v>
      </c>
      <c r="R91">
        <f t="shared" si="5"/>
        <v>15.733333333333333</v>
      </c>
    </row>
    <row r="92" spans="1:18" x14ac:dyDescent="0.25">
      <c r="A92" s="68">
        <v>26</v>
      </c>
      <c r="B92" s="69" t="s">
        <v>96</v>
      </c>
      <c r="C92" s="70">
        <v>24</v>
      </c>
      <c r="D92" s="70">
        <v>28</v>
      </c>
      <c r="E92" s="70">
        <v>34</v>
      </c>
      <c r="F92" s="70">
        <v>28</v>
      </c>
      <c r="G92" s="70">
        <v>48</v>
      </c>
      <c r="H92" s="70">
        <v>39</v>
      </c>
      <c r="I92" s="70"/>
      <c r="J92" s="70">
        <v>18</v>
      </c>
      <c r="K92" s="70">
        <v>16</v>
      </c>
      <c r="L92" s="70">
        <v>18</v>
      </c>
      <c r="M92" s="70">
        <v>20</v>
      </c>
      <c r="N92" s="70">
        <v>24</v>
      </c>
      <c r="O92" s="68" t="s">
        <v>272</v>
      </c>
      <c r="P92">
        <f t="shared" si="3"/>
        <v>297</v>
      </c>
      <c r="Q92">
        <f t="shared" si="4"/>
        <v>49.5</v>
      </c>
      <c r="R92">
        <f t="shared" si="5"/>
        <v>9.9</v>
      </c>
    </row>
    <row r="93" spans="1:18" x14ac:dyDescent="0.25">
      <c r="A93" s="68">
        <v>27</v>
      </c>
      <c r="B93" s="69" t="s">
        <v>97</v>
      </c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68" t="s">
        <v>272</v>
      </c>
      <c r="P93">
        <f t="shared" si="3"/>
        <v>0</v>
      </c>
      <c r="Q93">
        <f t="shared" si="4"/>
        <v>0</v>
      </c>
      <c r="R93">
        <f t="shared" si="5"/>
        <v>0</v>
      </c>
    </row>
    <row r="94" spans="1:18" x14ac:dyDescent="0.25">
      <c r="A94" s="68">
        <v>28</v>
      </c>
      <c r="B94" s="69" t="s">
        <v>98</v>
      </c>
      <c r="C94" s="70">
        <v>23</v>
      </c>
      <c r="D94" s="70">
        <v>30</v>
      </c>
      <c r="E94" s="70">
        <v>23</v>
      </c>
      <c r="F94" s="70">
        <v>32</v>
      </c>
      <c r="G94" s="70">
        <v>30</v>
      </c>
      <c r="H94" s="70">
        <v>28</v>
      </c>
      <c r="I94" s="70">
        <v>24</v>
      </c>
      <c r="J94" s="70">
        <v>34</v>
      </c>
      <c r="K94" s="70">
        <v>23</v>
      </c>
      <c r="L94" s="70">
        <v>32</v>
      </c>
      <c r="M94" s="70">
        <v>33</v>
      </c>
      <c r="N94" s="70">
        <v>29</v>
      </c>
      <c r="O94" s="68" t="s">
        <v>272</v>
      </c>
      <c r="P94">
        <f t="shared" si="3"/>
        <v>341</v>
      </c>
      <c r="Q94">
        <f t="shared" si="4"/>
        <v>56.833333333333336</v>
      </c>
      <c r="R94">
        <f t="shared" si="5"/>
        <v>11.366666666666667</v>
      </c>
    </row>
    <row r="95" spans="1:18" x14ac:dyDescent="0.25">
      <c r="A95" s="68">
        <v>29</v>
      </c>
      <c r="B95" s="69" t="s">
        <v>99</v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68" t="s">
        <v>272</v>
      </c>
      <c r="P95">
        <f t="shared" si="3"/>
        <v>0</v>
      </c>
      <c r="Q95">
        <f t="shared" si="4"/>
        <v>0</v>
      </c>
      <c r="R95">
        <f t="shared" si="5"/>
        <v>0</v>
      </c>
    </row>
    <row r="96" spans="1:18" x14ac:dyDescent="0.25">
      <c r="A96" s="68">
        <v>30</v>
      </c>
      <c r="B96" s="69" t="s">
        <v>100</v>
      </c>
      <c r="C96" s="70">
        <v>26</v>
      </c>
      <c r="D96" s="70">
        <v>27</v>
      </c>
      <c r="E96" s="70">
        <v>17</v>
      </c>
      <c r="F96" s="70">
        <v>31</v>
      </c>
      <c r="G96" s="70">
        <v>35</v>
      </c>
      <c r="H96" s="70">
        <v>25</v>
      </c>
      <c r="I96" s="70">
        <v>25</v>
      </c>
      <c r="J96" s="70">
        <v>23</v>
      </c>
      <c r="K96" s="70">
        <v>29</v>
      </c>
      <c r="L96" s="70">
        <v>22</v>
      </c>
      <c r="M96" s="70">
        <v>25</v>
      </c>
      <c r="N96" s="70">
        <v>38</v>
      </c>
      <c r="O96" s="68" t="s">
        <v>272</v>
      </c>
      <c r="P96">
        <f t="shared" si="3"/>
        <v>323</v>
      </c>
      <c r="Q96">
        <f t="shared" si="4"/>
        <v>53.833333333333336</v>
      </c>
      <c r="R96">
        <f t="shared" si="5"/>
        <v>10.766666666666667</v>
      </c>
    </row>
    <row r="97" spans="1:18" x14ac:dyDescent="0.25">
      <c r="A97" s="68">
        <v>31</v>
      </c>
      <c r="B97" s="69" t="s">
        <v>101</v>
      </c>
      <c r="C97" s="70">
        <v>12</v>
      </c>
      <c r="D97" s="70">
        <v>19</v>
      </c>
      <c r="E97" s="70">
        <v>15</v>
      </c>
      <c r="F97" s="70">
        <v>25</v>
      </c>
      <c r="G97" s="70">
        <v>14</v>
      </c>
      <c r="H97" s="70">
        <v>17</v>
      </c>
      <c r="I97" s="70">
        <v>18</v>
      </c>
      <c r="J97" s="70">
        <v>21</v>
      </c>
      <c r="K97" s="70">
        <v>17</v>
      </c>
      <c r="L97" s="70">
        <v>24</v>
      </c>
      <c r="M97" s="70">
        <v>14</v>
      </c>
      <c r="N97" s="70">
        <v>25</v>
      </c>
      <c r="O97" s="68" t="s">
        <v>272</v>
      </c>
      <c r="P97">
        <f t="shared" si="3"/>
        <v>221</v>
      </c>
      <c r="Q97">
        <f t="shared" si="4"/>
        <v>36.833333333333336</v>
      </c>
      <c r="R97">
        <f t="shared" si="5"/>
        <v>7.3666666666666671</v>
      </c>
    </row>
    <row r="98" spans="1:18" x14ac:dyDescent="0.25">
      <c r="A98" s="68">
        <v>1</v>
      </c>
      <c r="B98" s="69" t="s">
        <v>102</v>
      </c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68" t="s">
        <v>273</v>
      </c>
      <c r="P98">
        <f t="shared" si="3"/>
        <v>0</v>
      </c>
      <c r="Q98">
        <f t="shared" si="4"/>
        <v>0</v>
      </c>
      <c r="R98">
        <f t="shared" si="5"/>
        <v>0</v>
      </c>
    </row>
    <row r="99" spans="1:18" x14ac:dyDescent="0.25">
      <c r="A99" s="68">
        <v>2</v>
      </c>
      <c r="B99" s="69" t="s">
        <v>103</v>
      </c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68" t="s">
        <v>273</v>
      </c>
      <c r="P99">
        <f t="shared" si="3"/>
        <v>0</v>
      </c>
      <c r="Q99">
        <f t="shared" si="4"/>
        <v>0</v>
      </c>
      <c r="R99">
        <f t="shared" si="5"/>
        <v>0</v>
      </c>
    </row>
    <row r="100" spans="1:18" x14ac:dyDescent="0.25">
      <c r="A100" s="68">
        <v>3</v>
      </c>
      <c r="B100" s="69" t="s">
        <v>104</v>
      </c>
      <c r="C100" s="70"/>
      <c r="D100" s="70"/>
      <c r="E100" s="70"/>
      <c r="F100" s="70"/>
      <c r="G100" s="70"/>
      <c r="H100" s="70"/>
      <c r="I100" s="70"/>
      <c r="J100" s="70">
        <v>19</v>
      </c>
      <c r="K100" s="70"/>
      <c r="L100" s="70"/>
      <c r="M100" s="70">
        <v>24</v>
      </c>
      <c r="N100" s="70">
        <v>36</v>
      </c>
      <c r="O100" s="68" t="s">
        <v>273</v>
      </c>
      <c r="P100">
        <f t="shared" si="3"/>
        <v>79</v>
      </c>
      <c r="Q100">
        <f t="shared" si="4"/>
        <v>13.166666666666666</v>
      </c>
      <c r="R100">
        <f t="shared" si="5"/>
        <v>2.6333333333333333</v>
      </c>
    </row>
    <row r="101" spans="1:18" x14ac:dyDescent="0.25">
      <c r="A101" s="68">
        <v>4</v>
      </c>
      <c r="B101" s="69" t="s">
        <v>105</v>
      </c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68" t="s">
        <v>273</v>
      </c>
      <c r="P101">
        <f t="shared" si="3"/>
        <v>0</v>
      </c>
      <c r="Q101">
        <f t="shared" si="4"/>
        <v>0</v>
      </c>
      <c r="R101">
        <f t="shared" si="5"/>
        <v>0</v>
      </c>
    </row>
    <row r="102" spans="1:18" x14ac:dyDescent="0.25">
      <c r="A102" s="68">
        <v>5</v>
      </c>
      <c r="B102" s="69" t="s">
        <v>106</v>
      </c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68" t="s">
        <v>273</v>
      </c>
      <c r="P102">
        <f t="shared" si="3"/>
        <v>0</v>
      </c>
      <c r="Q102">
        <f t="shared" si="4"/>
        <v>0</v>
      </c>
      <c r="R102">
        <f t="shared" si="5"/>
        <v>0</v>
      </c>
    </row>
    <row r="103" spans="1:18" x14ac:dyDescent="0.25">
      <c r="A103" s="68">
        <v>6</v>
      </c>
      <c r="B103" s="69" t="s">
        <v>107</v>
      </c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68" t="s">
        <v>273</v>
      </c>
      <c r="P103">
        <f t="shared" si="3"/>
        <v>0</v>
      </c>
      <c r="Q103">
        <f t="shared" si="4"/>
        <v>0</v>
      </c>
      <c r="R103">
        <f t="shared" si="5"/>
        <v>0</v>
      </c>
    </row>
    <row r="104" spans="1:18" x14ac:dyDescent="0.25">
      <c r="A104" s="68">
        <v>7</v>
      </c>
      <c r="B104" s="69" t="s">
        <v>108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68" t="s">
        <v>273</v>
      </c>
      <c r="P104">
        <f t="shared" si="3"/>
        <v>0</v>
      </c>
      <c r="Q104">
        <f t="shared" si="4"/>
        <v>0</v>
      </c>
      <c r="R104">
        <f t="shared" si="5"/>
        <v>0</v>
      </c>
    </row>
    <row r="105" spans="1:18" x14ac:dyDescent="0.25">
      <c r="A105" s="68">
        <v>8</v>
      </c>
      <c r="B105" s="69" t="s">
        <v>109</v>
      </c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68" t="s">
        <v>273</v>
      </c>
      <c r="P105">
        <f t="shared" si="3"/>
        <v>0</v>
      </c>
      <c r="Q105">
        <f t="shared" si="4"/>
        <v>0</v>
      </c>
      <c r="R105">
        <f t="shared" si="5"/>
        <v>0</v>
      </c>
    </row>
    <row r="106" spans="1:18" x14ac:dyDescent="0.25">
      <c r="A106" s="68">
        <v>9</v>
      </c>
      <c r="B106" s="69" t="s">
        <v>110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68" t="s">
        <v>273</v>
      </c>
      <c r="P106">
        <f t="shared" si="3"/>
        <v>0</v>
      </c>
      <c r="Q106">
        <f t="shared" si="4"/>
        <v>0</v>
      </c>
      <c r="R106">
        <f t="shared" si="5"/>
        <v>0</v>
      </c>
    </row>
    <row r="107" spans="1:18" x14ac:dyDescent="0.25">
      <c r="A107" s="68">
        <v>10</v>
      </c>
      <c r="B107" s="69" t="s">
        <v>111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68" t="s">
        <v>273</v>
      </c>
      <c r="P107">
        <f t="shared" si="3"/>
        <v>0</v>
      </c>
      <c r="Q107">
        <f t="shared" si="4"/>
        <v>0</v>
      </c>
      <c r="R107">
        <f t="shared" si="5"/>
        <v>0</v>
      </c>
    </row>
    <row r="108" spans="1:18" x14ac:dyDescent="0.25">
      <c r="A108" s="68">
        <v>11</v>
      </c>
      <c r="B108" s="69" t="s">
        <v>112</v>
      </c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68" t="s">
        <v>273</v>
      </c>
      <c r="P108">
        <f t="shared" si="3"/>
        <v>0</v>
      </c>
      <c r="Q108">
        <f t="shared" si="4"/>
        <v>0</v>
      </c>
      <c r="R108">
        <f t="shared" si="5"/>
        <v>0</v>
      </c>
    </row>
    <row r="109" spans="1:18" x14ac:dyDescent="0.25">
      <c r="A109" s="68">
        <v>12</v>
      </c>
      <c r="B109" s="69" t="s">
        <v>113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68" t="s">
        <v>273</v>
      </c>
      <c r="P109">
        <f t="shared" si="3"/>
        <v>0</v>
      </c>
      <c r="Q109">
        <f t="shared" si="4"/>
        <v>0</v>
      </c>
      <c r="R109">
        <f t="shared" si="5"/>
        <v>0</v>
      </c>
    </row>
    <row r="110" spans="1:18" x14ac:dyDescent="0.25">
      <c r="A110" s="68">
        <v>13</v>
      </c>
      <c r="B110" s="69" t="s">
        <v>114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68" t="s">
        <v>273</v>
      </c>
      <c r="P110">
        <f t="shared" si="3"/>
        <v>0</v>
      </c>
      <c r="Q110">
        <f t="shared" si="4"/>
        <v>0</v>
      </c>
      <c r="R110">
        <f t="shared" si="5"/>
        <v>0</v>
      </c>
    </row>
    <row r="111" spans="1:18" x14ac:dyDescent="0.25">
      <c r="A111" s="68">
        <v>14</v>
      </c>
      <c r="B111" s="69" t="s">
        <v>115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68" t="s">
        <v>273</v>
      </c>
      <c r="P111">
        <f t="shared" si="3"/>
        <v>0</v>
      </c>
      <c r="Q111">
        <f t="shared" si="4"/>
        <v>0</v>
      </c>
      <c r="R111">
        <f t="shared" si="5"/>
        <v>0</v>
      </c>
    </row>
    <row r="112" spans="1:18" x14ac:dyDescent="0.25">
      <c r="A112" s="68">
        <v>15</v>
      </c>
      <c r="B112" s="69" t="s">
        <v>116</v>
      </c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68" t="s">
        <v>273</v>
      </c>
      <c r="P112">
        <f t="shared" si="3"/>
        <v>0</v>
      </c>
      <c r="Q112">
        <f t="shared" si="4"/>
        <v>0</v>
      </c>
      <c r="R112">
        <f t="shared" si="5"/>
        <v>0</v>
      </c>
    </row>
    <row r="113" spans="1:18" x14ac:dyDescent="0.25">
      <c r="A113" s="68">
        <v>16</v>
      </c>
      <c r="B113" s="69" t="s">
        <v>117</v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68" t="s">
        <v>273</v>
      </c>
      <c r="P113">
        <f t="shared" si="3"/>
        <v>0</v>
      </c>
      <c r="Q113">
        <f t="shared" si="4"/>
        <v>0</v>
      </c>
      <c r="R113">
        <f t="shared" si="5"/>
        <v>0</v>
      </c>
    </row>
    <row r="114" spans="1:18" x14ac:dyDescent="0.25">
      <c r="A114" s="68">
        <v>17</v>
      </c>
      <c r="B114" s="69" t="s">
        <v>118</v>
      </c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68" t="s">
        <v>273</v>
      </c>
      <c r="P114">
        <f t="shared" si="3"/>
        <v>0</v>
      </c>
      <c r="Q114">
        <f t="shared" si="4"/>
        <v>0</v>
      </c>
      <c r="R114">
        <f t="shared" si="5"/>
        <v>0</v>
      </c>
    </row>
    <row r="115" spans="1:18" x14ac:dyDescent="0.25">
      <c r="A115" s="68">
        <v>18</v>
      </c>
      <c r="B115" s="69" t="s">
        <v>119</v>
      </c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68" t="s">
        <v>273</v>
      </c>
      <c r="P115">
        <f t="shared" si="3"/>
        <v>0</v>
      </c>
      <c r="Q115">
        <f t="shared" si="4"/>
        <v>0</v>
      </c>
      <c r="R115">
        <f t="shared" si="5"/>
        <v>0</v>
      </c>
    </row>
    <row r="116" spans="1:18" x14ac:dyDescent="0.25">
      <c r="A116" s="68">
        <v>19</v>
      </c>
      <c r="B116" s="69" t="s">
        <v>120</v>
      </c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68" t="s">
        <v>273</v>
      </c>
      <c r="P116">
        <f t="shared" si="3"/>
        <v>0</v>
      </c>
      <c r="Q116">
        <f t="shared" si="4"/>
        <v>0</v>
      </c>
      <c r="R116">
        <f t="shared" si="5"/>
        <v>0</v>
      </c>
    </row>
    <row r="117" spans="1:18" x14ac:dyDescent="0.25">
      <c r="A117" s="68">
        <v>20</v>
      </c>
      <c r="B117" s="69" t="s">
        <v>121</v>
      </c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68" t="s">
        <v>273</v>
      </c>
      <c r="P117">
        <f t="shared" si="3"/>
        <v>0</v>
      </c>
      <c r="Q117">
        <f t="shared" si="4"/>
        <v>0</v>
      </c>
      <c r="R117">
        <f t="shared" si="5"/>
        <v>0</v>
      </c>
    </row>
    <row r="118" spans="1:18" x14ac:dyDescent="0.25">
      <c r="A118" s="68">
        <v>21</v>
      </c>
      <c r="B118" s="69" t="s">
        <v>122</v>
      </c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68" t="s">
        <v>273</v>
      </c>
      <c r="P118">
        <f t="shared" si="3"/>
        <v>0</v>
      </c>
      <c r="Q118">
        <f t="shared" si="4"/>
        <v>0</v>
      </c>
      <c r="R118">
        <f t="shared" si="5"/>
        <v>0</v>
      </c>
    </row>
    <row r="119" spans="1:18" x14ac:dyDescent="0.25">
      <c r="A119" s="68">
        <v>22</v>
      </c>
      <c r="B119" s="69" t="s">
        <v>123</v>
      </c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68" t="s">
        <v>273</v>
      </c>
      <c r="P119">
        <f t="shared" si="3"/>
        <v>0</v>
      </c>
      <c r="Q119">
        <f t="shared" si="4"/>
        <v>0</v>
      </c>
      <c r="R119">
        <f t="shared" si="5"/>
        <v>0</v>
      </c>
    </row>
    <row r="120" spans="1:18" x14ac:dyDescent="0.25">
      <c r="A120" s="68">
        <v>23</v>
      </c>
      <c r="B120" s="69" t="s">
        <v>124</v>
      </c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68" t="s">
        <v>273</v>
      </c>
      <c r="P120">
        <f t="shared" si="3"/>
        <v>0</v>
      </c>
      <c r="Q120">
        <f t="shared" si="4"/>
        <v>0</v>
      </c>
      <c r="R120">
        <f t="shared" si="5"/>
        <v>0</v>
      </c>
    </row>
    <row r="121" spans="1:18" x14ac:dyDescent="0.25">
      <c r="A121" s="68">
        <v>24</v>
      </c>
      <c r="B121" s="69" t="s">
        <v>125</v>
      </c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68" t="s">
        <v>273</v>
      </c>
      <c r="P121">
        <f t="shared" si="3"/>
        <v>0</v>
      </c>
      <c r="Q121">
        <f t="shared" si="4"/>
        <v>0</v>
      </c>
      <c r="R121">
        <f t="shared" si="5"/>
        <v>0</v>
      </c>
    </row>
    <row r="122" spans="1:18" x14ac:dyDescent="0.25">
      <c r="A122" s="68">
        <v>25</v>
      </c>
      <c r="B122" s="69" t="s">
        <v>126</v>
      </c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68" t="s">
        <v>273</v>
      </c>
      <c r="P122">
        <f t="shared" si="3"/>
        <v>0</v>
      </c>
      <c r="Q122">
        <f t="shared" si="4"/>
        <v>0</v>
      </c>
      <c r="R122">
        <f t="shared" si="5"/>
        <v>0</v>
      </c>
    </row>
    <row r="123" spans="1:18" x14ac:dyDescent="0.25">
      <c r="A123" s="68">
        <v>26</v>
      </c>
      <c r="B123" s="69" t="s">
        <v>127</v>
      </c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68" t="s">
        <v>273</v>
      </c>
      <c r="P123">
        <f t="shared" si="3"/>
        <v>0</v>
      </c>
      <c r="Q123">
        <f t="shared" si="4"/>
        <v>0</v>
      </c>
      <c r="R123">
        <f t="shared" si="5"/>
        <v>0</v>
      </c>
    </row>
    <row r="124" spans="1:18" x14ac:dyDescent="0.25">
      <c r="A124" s="68">
        <v>27</v>
      </c>
      <c r="B124" s="69" t="s">
        <v>128</v>
      </c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68" t="s">
        <v>273</v>
      </c>
      <c r="P124">
        <f t="shared" si="3"/>
        <v>0</v>
      </c>
      <c r="Q124">
        <f t="shared" si="4"/>
        <v>0</v>
      </c>
      <c r="R124">
        <f t="shared" si="5"/>
        <v>0</v>
      </c>
    </row>
    <row r="125" spans="1:18" x14ac:dyDescent="0.25">
      <c r="A125" s="68">
        <v>28</v>
      </c>
      <c r="B125" s="69" t="s">
        <v>129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68" t="s">
        <v>273</v>
      </c>
      <c r="P125">
        <f t="shared" si="3"/>
        <v>0</v>
      </c>
      <c r="Q125">
        <f t="shared" si="4"/>
        <v>0</v>
      </c>
      <c r="R125">
        <f t="shared" si="5"/>
        <v>0</v>
      </c>
    </row>
    <row r="126" spans="1:18" x14ac:dyDescent="0.25">
      <c r="A126" s="68">
        <v>29</v>
      </c>
      <c r="B126" s="69" t="s">
        <v>130</v>
      </c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68" t="s">
        <v>273</v>
      </c>
      <c r="P126">
        <f t="shared" si="3"/>
        <v>0</v>
      </c>
      <c r="Q126">
        <f t="shared" si="4"/>
        <v>0</v>
      </c>
      <c r="R126">
        <f t="shared" si="5"/>
        <v>0</v>
      </c>
    </row>
    <row r="127" spans="1:18" x14ac:dyDescent="0.25">
      <c r="A127" s="68">
        <v>30</v>
      </c>
      <c r="B127" s="69" t="s">
        <v>131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68" t="s">
        <v>273</v>
      </c>
      <c r="P127">
        <f t="shared" si="3"/>
        <v>0</v>
      </c>
      <c r="Q127">
        <f t="shared" si="4"/>
        <v>0</v>
      </c>
      <c r="R127">
        <f t="shared" si="5"/>
        <v>0</v>
      </c>
    </row>
    <row r="128" spans="1:18" x14ac:dyDescent="0.25">
      <c r="A128" s="68">
        <v>31</v>
      </c>
      <c r="B128" s="69" t="s">
        <v>132</v>
      </c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68" t="s">
        <v>273</v>
      </c>
      <c r="P128">
        <f t="shared" si="3"/>
        <v>0</v>
      </c>
      <c r="Q128">
        <f t="shared" si="4"/>
        <v>0</v>
      </c>
      <c r="R128">
        <f t="shared" si="5"/>
        <v>0</v>
      </c>
    </row>
    <row r="129" spans="1:18" x14ac:dyDescent="0.25">
      <c r="A129" s="68">
        <v>32</v>
      </c>
      <c r="B129" s="69" t="s">
        <v>133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68" t="s">
        <v>273</v>
      </c>
      <c r="P129">
        <f t="shared" si="3"/>
        <v>0</v>
      </c>
      <c r="Q129">
        <f t="shared" si="4"/>
        <v>0</v>
      </c>
      <c r="R129">
        <f t="shared" si="5"/>
        <v>0</v>
      </c>
    </row>
    <row r="130" spans="1:18" x14ac:dyDescent="0.25">
      <c r="A130" s="68">
        <v>33</v>
      </c>
      <c r="B130" s="69" t="s">
        <v>134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68" t="s">
        <v>273</v>
      </c>
      <c r="P130">
        <f t="shared" si="3"/>
        <v>0</v>
      </c>
      <c r="Q130">
        <f t="shared" si="4"/>
        <v>0</v>
      </c>
      <c r="R130">
        <f t="shared" si="5"/>
        <v>0</v>
      </c>
    </row>
    <row r="131" spans="1:18" x14ac:dyDescent="0.25">
      <c r="A131" s="68">
        <v>34</v>
      </c>
      <c r="B131" s="69" t="s">
        <v>135</v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68" t="s">
        <v>273</v>
      </c>
      <c r="P131">
        <f t="shared" ref="P131:P194" si="6">SUM(C131:N131)</f>
        <v>0</v>
      </c>
      <c r="Q131">
        <f t="shared" ref="Q131:Q194" si="7">(P131/600)*100</f>
        <v>0</v>
      </c>
      <c r="R131">
        <f t="shared" ref="R131:R194" si="8">Q131*0.2</f>
        <v>0</v>
      </c>
    </row>
    <row r="132" spans="1:18" x14ac:dyDescent="0.25">
      <c r="A132" s="68">
        <v>35</v>
      </c>
      <c r="B132" s="69" t="s">
        <v>136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68" t="s">
        <v>273</v>
      </c>
      <c r="P132">
        <f t="shared" si="6"/>
        <v>0</v>
      </c>
      <c r="Q132">
        <f t="shared" si="7"/>
        <v>0</v>
      </c>
      <c r="R132">
        <f t="shared" si="8"/>
        <v>0</v>
      </c>
    </row>
    <row r="133" spans="1:18" x14ac:dyDescent="0.25">
      <c r="A133" s="68">
        <v>1</v>
      </c>
      <c r="B133" s="69" t="s">
        <v>137</v>
      </c>
      <c r="C133" s="70">
        <v>33</v>
      </c>
      <c r="D133" s="70">
        <v>36</v>
      </c>
      <c r="E133" s="70">
        <v>20</v>
      </c>
      <c r="F133" s="70">
        <v>28</v>
      </c>
      <c r="G133" s="70">
        <v>27</v>
      </c>
      <c r="H133" s="70">
        <v>23</v>
      </c>
      <c r="I133" s="70">
        <v>22</v>
      </c>
      <c r="J133" s="70">
        <v>37</v>
      </c>
      <c r="K133" s="70">
        <v>29</v>
      </c>
      <c r="L133" s="70">
        <v>48</v>
      </c>
      <c r="M133" s="70">
        <v>32</v>
      </c>
      <c r="N133" s="70">
        <v>40</v>
      </c>
      <c r="O133" s="68" t="s">
        <v>274</v>
      </c>
      <c r="P133">
        <f t="shared" si="6"/>
        <v>375</v>
      </c>
      <c r="Q133">
        <f t="shared" si="7"/>
        <v>62.5</v>
      </c>
      <c r="R133">
        <f t="shared" si="8"/>
        <v>12.5</v>
      </c>
    </row>
    <row r="134" spans="1:18" x14ac:dyDescent="0.25">
      <c r="A134" s="68">
        <v>2</v>
      </c>
      <c r="B134" s="69" t="s">
        <v>138</v>
      </c>
      <c r="C134" s="70">
        <v>23</v>
      </c>
      <c r="D134" s="70">
        <v>42</v>
      </c>
      <c r="E134" s="70">
        <v>16</v>
      </c>
      <c r="F134" s="70">
        <v>34</v>
      </c>
      <c r="G134" s="70">
        <v>33</v>
      </c>
      <c r="H134" s="70">
        <v>29</v>
      </c>
      <c r="I134" s="70">
        <v>23</v>
      </c>
      <c r="J134" s="70">
        <v>34</v>
      </c>
      <c r="K134" s="70">
        <v>27</v>
      </c>
      <c r="L134" s="70">
        <v>24</v>
      </c>
      <c r="M134" s="70">
        <v>21</v>
      </c>
      <c r="N134" s="70">
        <v>35</v>
      </c>
      <c r="O134" s="68" t="s">
        <v>274</v>
      </c>
      <c r="P134">
        <f t="shared" si="6"/>
        <v>341</v>
      </c>
      <c r="Q134">
        <f t="shared" si="7"/>
        <v>56.833333333333336</v>
      </c>
      <c r="R134">
        <f t="shared" si="8"/>
        <v>11.366666666666667</v>
      </c>
    </row>
    <row r="135" spans="1:18" x14ac:dyDescent="0.25">
      <c r="A135" s="68">
        <v>3</v>
      </c>
      <c r="B135" s="69" t="s">
        <v>139</v>
      </c>
      <c r="C135" s="70">
        <v>21</v>
      </c>
      <c r="D135" s="70">
        <v>19</v>
      </c>
      <c r="E135" s="70">
        <v>15</v>
      </c>
      <c r="F135" s="70">
        <v>16</v>
      </c>
      <c r="G135" s="70">
        <v>24</v>
      </c>
      <c r="H135" s="70">
        <v>20</v>
      </c>
      <c r="I135" s="70">
        <v>17</v>
      </c>
      <c r="J135" s="70">
        <v>14</v>
      </c>
      <c r="K135" s="70">
        <v>16</v>
      </c>
      <c r="L135" s="70">
        <v>22</v>
      </c>
      <c r="M135" s="70">
        <v>18</v>
      </c>
      <c r="N135" s="70">
        <v>29</v>
      </c>
      <c r="O135" s="68" t="s">
        <v>274</v>
      </c>
      <c r="P135">
        <f t="shared" si="6"/>
        <v>231</v>
      </c>
      <c r="Q135">
        <f t="shared" si="7"/>
        <v>38.5</v>
      </c>
      <c r="R135">
        <f t="shared" si="8"/>
        <v>7.7</v>
      </c>
    </row>
    <row r="136" spans="1:18" x14ac:dyDescent="0.25">
      <c r="A136" s="68">
        <v>4</v>
      </c>
      <c r="B136" s="69" t="s">
        <v>140</v>
      </c>
      <c r="C136" s="70">
        <v>12</v>
      </c>
      <c r="D136" s="70">
        <v>19</v>
      </c>
      <c r="E136" s="70">
        <v>10</v>
      </c>
      <c r="F136" s="70">
        <v>21</v>
      </c>
      <c r="G136" s="70">
        <v>13</v>
      </c>
      <c r="H136" s="70">
        <v>21</v>
      </c>
      <c r="I136" s="70">
        <v>20</v>
      </c>
      <c r="J136" s="70">
        <v>15</v>
      </c>
      <c r="K136" s="70">
        <v>21</v>
      </c>
      <c r="L136" s="70">
        <v>19</v>
      </c>
      <c r="M136" s="70">
        <v>28</v>
      </c>
      <c r="N136" s="70">
        <v>31</v>
      </c>
      <c r="O136" s="68" t="s">
        <v>274</v>
      </c>
      <c r="P136">
        <f t="shared" si="6"/>
        <v>230</v>
      </c>
      <c r="Q136">
        <f t="shared" si="7"/>
        <v>38.333333333333336</v>
      </c>
      <c r="R136">
        <f t="shared" si="8"/>
        <v>7.6666666666666679</v>
      </c>
    </row>
    <row r="137" spans="1:18" x14ac:dyDescent="0.25">
      <c r="A137" s="68">
        <v>5</v>
      </c>
      <c r="B137" s="69" t="s">
        <v>141</v>
      </c>
      <c r="C137" s="70">
        <v>22</v>
      </c>
      <c r="D137" s="70">
        <v>35</v>
      </c>
      <c r="E137" s="70">
        <v>14</v>
      </c>
      <c r="F137" s="70">
        <v>22</v>
      </c>
      <c r="G137" s="70">
        <v>13</v>
      </c>
      <c r="H137" s="70">
        <v>20</v>
      </c>
      <c r="I137" s="70">
        <v>18</v>
      </c>
      <c r="J137" s="70">
        <v>18</v>
      </c>
      <c r="K137" s="70">
        <v>23</v>
      </c>
      <c r="L137" s="70">
        <v>48</v>
      </c>
      <c r="M137" s="70">
        <v>24</v>
      </c>
      <c r="N137" s="70">
        <v>27</v>
      </c>
      <c r="O137" s="68" t="s">
        <v>274</v>
      </c>
      <c r="P137">
        <f t="shared" si="6"/>
        <v>284</v>
      </c>
      <c r="Q137">
        <f t="shared" si="7"/>
        <v>47.333333333333336</v>
      </c>
      <c r="R137">
        <f t="shared" si="8"/>
        <v>9.4666666666666668</v>
      </c>
    </row>
    <row r="138" spans="1:18" x14ac:dyDescent="0.25">
      <c r="A138" s="68">
        <v>6</v>
      </c>
      <c r="B138" s="69" t="s">
        <v>142</v>
      </c>
      <c r="C138" s="70">
        <v>44</v>
      </c>
      <c r="D138" s="70">
        <v>45</v>
      </c>
      <c r="E138" s="70">
        <v>45</v>
      </c>
      <c r="F138" s="70">
        <v>42</v>
      </c>
      <c r="G138" s="70">
        <v>42</v>
      </c>
      <c r="H138" s="70">
        <v>45</v>
      </c>
      <c r="I138" s="70">
        <v>43</v>
      </c>
      <c r="J138" s="70">
        <v>43</v>
      </c>
      <c r="K138" s="70">
        <v>41</v>
      </c>
      <c r="L138" s="70">
        <v>29</v>
      </c>
      <c r="M138" s="70">
        <v>41</v>
      </c>
      <c r="N138" s="70">
        <v>45</v>
      </c>
      <c r="O138" s="68" t="s">
        <v>274</v>
      </c>
      <c r="P138">
        <f t="shared" si="6"/>
        <v>505</v>
      </c>
      <c r="Q138">
        <f t="shared" si="7"/>
        <v>84.166666666666671</v>
      </c>
      <c r="R138">
        <f t="shared" si="8"/>
        <v>16.833333333333336</v>
      </c>
    </row>
    <row r="139" spans="1:18" x14ac:dyDescent="0.25">
      <c r="A139" s="68">
        <v>7</v>
      </c>
      <c r="B139" s="69" t="s">
        <v>143</v>
      </c>
      <c r="C139" s="70">
        <v>20</v>
      </c>
      <c r="D139" s="70">
        <v>27</v>
      </c>
      <c r="E139" s="70">
        <v>24</v>
      </c>
      <c r="F139" s="70">
        <v>22</v>
      </c>
      <c r="G139" s="70">
        <v>23</v>
      </c>
      <c r="H139" s="70">
        <v>18</v>
      </c>
      <c r="I139" s="70">
        <v>21</v>
      </c>
      <c r="J139" s="70">
        <v>26</v>
      </c>
      <c r="K139" s="70">
        <v>18</v>
      </c>
      <c r="L139" s="70">
        <v>22</v>
      </c>
      <c r="M139" s="70">
        <v>27</v>
      </c>
      <c r="N139" s="70">
        <v>26</v>
      </c>
      <c r="O139" s="68" t="s">
        <v>274</v>
      </c>
      <c r="P139">
        <f t="shared" si="6"/>
        <v>274</v>
      </c>
      <c r="Q139">
        <f t="shared" si="7"/>
        <v>45.666666666666664</v>
      </c>
      <c r="R139">
        <f t="shared" si="8"/>
        <v>9.1333333333333329</v>
      </c>
    </row>
    <row r="140" spans="1:18" x14ac:dyDescent="0.25">
      <c r="A140" s="68">
        <v>8</v>
      </c>
      <c r="B140" s="69" t="s">
        <v>144</v>
      </c>
      <c r="C140" s="70">
        <v>31</v>
      </c>
      <c r="D140" s="70">
        <v>37</v>
      </c>
      <c r="E140" s="70">
        <v>20</v>
      </c>
      <c r="F140" s="70">
        <v>25</v>
      </c>
      <c r="G140" s="70">
        <v>27</v>
      </c>
      <c r="H140" s="70">
        <v>16</v>
      </c>
      <c r="I140" s="70">
        <v>18</v>
      </c>
      <c r="J140" s="70">
        <v>27</v>
      </c>
      <c r="K140" s="70">
        <v>22</v>
      </c>
      <c r="L140" s="70">
        <v>20</v>
      </c>
      <c r="M140" s="70">
        <v>21</v>
      </c>
      <c r="N140" s="70">
        <v>34</v>
      </c>
      <c r="O140" s="68" t="s">
        <v>274</v>
      </c>
      <c r="P140">
        <f t="shared" si="6"/>
        <v>298</v>
      </c>
      <c r="Q140">
        <f t="shared" si="7"/>
        <v>49.666666666666664</v>
      </c>
      <c r="R140">
        <f t="shared" si="8"/>
        <v>9.9333333333333336</v>
      </c>
    </row>
    <row r="141" spans="1:18" x14ac:dyDescent="0.25">
      <c r="A141" s="68">
        <v>9</v>
      </c>
      <c r="B141" s="69" t="s">
        <v>145</v>
      </c>
      <c r="C141" s="70">
        <v>22</v>
      </c>
      <c r="D141" s="70">
        <v>14</v>
      </c>
      <c r="E141" s="70">
        <v>17</v>
      </c>
      <c r="F141" s="70">
        <v>13</v>
      </c>
      <c r="G141" s="70">
        <v>15</v>
      </c>
      <c r="H141" s="70">
        <v>12</v>
      </c>
      <c r="I141" s="70">
        <v>16</v>
      </c>
      <c r="J141" s="70">
        <v>22</v>
      </c>
      <c r="K141" s="70">
        <v>22</v>
      </c>
      <c r="L141" s="70">
        <v>24</v>
      </c>
      <c r="M141" s="70">
        <v>20</v>
      </c>
      <c r="N141" s="70">
        <v>25</v>
      </c>
      <c r="O141" s="68" t="s">
        <v>274</v>
      </c>
      <c r="P141">
        <f t="shared" si="6"/>
        <v>222</v>
      </c>
      <c r="Q141">
        <f t="shared" si="7"/>
        <v>37</v>
      </c>
      <c r="R141">
        <f t="shared" si="8"/>
        <v>7.4</v>
      </c>
    </row>
    <row r="142" spans="1:18" x14ac:dyDescent="0.25">
      <c r="A142" s="68">
        <v>10</v>
      </c>
      <c r="B142" s="69" t="s">
        <v>146</v>
      </c>
      <c r="C142" s="70">
        <v>35</v>
      </c>
      <c r="D142" s="70">
        <v>40</v>
      </c>
      <c r="E142" s="70">
        <v>36</v>
      </c>
      <c r="F142" s="70">
        <v>34</v>
      </c>
      <c r="G142" s="70">
        <v>32</v>
      </c>
      <c r="H142" s="70">
        <v>23</v>
      </c>
      <c r="I142" s="70">
        <v>36</v>
      </c>
      <c r="J142" s="70">
        <v>33</v>
      </c>
      <c r="K142" s="70">
        <v>31</v>
      </c>
      <c r="L142" s="70">
        <v>37</v>
      </c>
      <c r="M142" s="70">
        <v>31</v>
      </c>
      <c r="N142" s="70">
        <v>42</v>
      </c>
      <c r="O142" s="68" t="s">
        <v>274</v>
      </c>
      <c r="P142">
        <f t="shared" si="6"/>
        <v>410</v>
      </c>
      <c r="Q142">
        <f t="shared" si="7"/>
        <v>68.333333333333329</v>
      </c>
      <c r="R142">
        <f t="shared" si="8"/>
        <v>13.666666666666666</v>
      </c>
    </row>
    <row r="143" spans="1:18" x14ac:dyDescent="0.25">
      <c r="A143" s="68">
        <v>11</v>
      </c>
      <c r="B143" s="69" t="s">
        <v>147</v>
      </c>
      <c r="C143" s="70"/>
      <c r="D143" s="70"/>
      <c r="E143" s="70"/>
      <c r="F143" s="70"/>
      <c r="G143" s="70"/>
      <c r="H143" s="70"/>
      <c r="I143" s="70">
        <v>41</v>
      </c>
      <c r="J143" s="70">
        <v>42</v>
      </c>
      <c r="K143" s="70">
        <v>45</v>
      </c>
      <c r="L143" s="70">
        <v>35</v>
      </c>
      <c r="M143" s="70">
        <v>39</v>
      </c>
      <c r="N143" s="70">
        <v>47</v>
      </c>
      <c r="O143" s="68" t="s">
        <v>274</v>
      </c>
      <c r="P143">
        <f t="shared" si="6"/>
        <v>249</v>
      </c>
      <c r="Q143">
        <f t="shared" si="7"/>
        <v>41.5</v>
      </c>
      <c r="R143">
        <f t="shared" si="8"/>
        <v>8.3000000000000007</v>
      </c>
    </row>
    <row r="144" spans="1:18" x14ac:dyDescent="0.25">
      <c r="A144" s="68">
        <v>12</v>
      </c>
      <c r="B144" s="69" t="s">
        <v>148</v>
      </c>
      <c r="C144" s="70">
        <v>36</v>
      </c>
      <c r="D144" s="70">
        <v>36</v>
      </c>
      <c r="E144" s="70">
        <v>23</v>
      </c>
      <c r="F144" s="70">
        <v>32</v>
      </c>
      <c r="G144" s="70">
        <v>29</v>
      </c>
      <c r="H144" s="70">
        <v>32</v>
      </c>
      <c r="I144" s="70">
        <v>33</v>
      </c>
      <c r="J144" s="70">
        <v>29</v>
      </c>
      <c r="K144" s="70">
        <v>27</v>
      </c>
      <c r="L144" s="70">
        <v>25</v>
      </c>
      <c r="M144" s="70">
        <v>27</v>
      </c>
      <c r="N144" s="70">
        <v>35</v>
      </c>
      <c r="O144" s="68" t="s">
        <v>274</v>
      </c>
      <c r="P144">
        <f t="shared" si="6"/>
        <v>364</v>
      </c>
      <c r="Q144">
        <f t="shared" si="7"/>
        <v>60.666666666666671</v>
      </c>
      <c r="R144">
        <f t="shared" si="8"/>
        <v>12.133333333333335</v>
      </c>
    </row>
    <row r="145" spans="1:18" x14ac:dyDescent="0.25">
      <c r="A145" s="68">
        <v>13</v>
      </c>
      <c r="B145" s="69" t="s">
        <v>149</v>
      </c>
      <c r="C145" s="70">
        <v>24</v>
      </c>
      <c r="D145" s="70">
        <v>29</v>
      </c>
      <c r="E145" s="70">
        <v>16</v>
      </c>
      <c r="F145" s="70">
        <v>24</v>
      </c>
      <c r="G145" s="70">
        <v>23</v>
      </c>
      <c r="H145" s="70">
        <v>16</v>
      </c>
      <c r="I145" s="70">
        <v>19</v>
      </c>
      <c r="J145" s="70">
        <v>19</v>
      </c>
      <c r="K145" s="70">
        <v>23</v>
      </c>
      <c r="L145" s="70">
        <v>32</v>
      </c>
      <c r="M145" s="70">
        <v>21</v>
      </c>
      <c r="N145" s="70">
        <v>29</v>
      </c>
      <c r="O145" s="68" t="s">
        <v>274</v>
      </c>
      <c r="P145">
        <f t="shared" si="6"/>
        <v>275</v>
      </c>
      <c r="Q145">
        <f t="shared" si="7"/>
        <v>45.833333333333329</v>
      </c>
      <c r="R145">
        <f t="shared" si="8"/>
        <v>9.1666666666666661</v>
      </c>
    </row>
    <row r="146" spans="1:18" x14ac:dyDescent="0.25">
      <c r="A146" s="68">
        <v>14</v>
      </c>
      <c r="B146" s="69" t="s">
        <v>150</v>
      </c>
      <c r="C146" s="70">
        <v>26</v>
      </c>
      <c r="D146" s="70">
        <v>28</v>
      </c>
      <c r="E146" s="70">
        <v>11</v>
      </c>
      <c r="F146" s="70">
        <v>21</v>
      </c>
      <c r="G146" s="70">
        <v>32</v>
      </c>
      <c r="H146" s="70">
        <v>21</v>
      </c>
      <c r="I146" s="70">
        <v>20</v>
      </c>
      <c r="J146" s="70">
        <v>33</v>
      </c>
      <c r="K146" s="70">
        <v>33</v>
      </c>
      <c r="L146" s="70">
        <v>23</v>
      </c>
      <c r="M146" s="70">
        <v>23</v>
      </c>
      <c r="N146" s="70">
        <v>26</v>
      </c>
      <c r="O146" s="68" t="s">
        <v>274</v>
      </c>
      <c r="P146">
        <f t="shared" si="6"/>
        <v>297</v>
      </c>
      <c r="Q146">
        <f t="shared" si="7"/>
        <v>49.5</v>
      </c>
      <c r="R146">
        <f t="shared" si="8"/>
        <v>9.9</v>
      </c>
    </row>
    <row r="147" spans="1:18" x14ac:dyDescent="0.25">
      <c r="A147" s="68">
        <v>15</v>
      </c>
      <c r="B147" s="69" t="s">
        <v>151</v>
      </c>
      <c r="C147" s="70">
        <v>28</v>
      </c>
      <c r="D147" s="70">
        <v>22</v>
      </c>
      <c r="E147" s="70">
        <v>23</v>
      </c>
      <c r="F147" s="70">
        <v>21</v>
      </c>
      <c r="G147" s="70">
        <v>35</v>
      </c>
      <c r="H147" s="70">
        <v>21</v>
      </c>
      <c r="I147" s="70">
        <v>16</v>
      </c>
      <c r="J147" s="70">
        <v>26</v>
      </c>
      <c r="K147" s="70">
        <v>27</v>
      </c>
      <c r="L147" s="70">
        <v>33</v>
      </c>
      <c r="M147" s="70">
        <v>20</v>
      </c>
      <c r="N147" s="70">
        <v>24</v>
      </c>
      <c r="O147" s="68" t="s">
        <v>274</v>
      </c>
      <c r="P147">
        <f t="shared" si="6"/>
        <v>296</v>
      </c>
      <c r="Q147">
        <f t="shared" si="7"/>
        <v>49.333333333333336</v>
      </c>
      <c r="R147">
        <f t="shared" si="8"/>
        <v>9.8666666666666671</v>
      </c>
    </row>
    <row r="148" spans="1:18" x14ac:dyDescent="0.25">
      <c r="A148" s="68">
        <v>16</v>
      </c>
      <c r="B148" s="69" t="s">
        <v>152</v>
      </c>
      <c r="C148" s="70">
        <v>20</v>
      </c>
      <c r="D148" s="70">
        <v>36</v>
      </c>
      <c r="E148" s="70">
        <v>19</v>
      </c>
      <c r="F148" s="70">
        <v>30</v>
      </c>
      <c r="G148" s="70">
        <v>33</v>
      </c>
      <c r="H148" s="70">
        <v>19</v>
      </c>
      <c r="I148" s="70">
        <v>17</v>
      </c>
      <c r="J148" s="70">
        <v>23</v>
      </c>
      <c r="K148" s="70">
        <v>22</v>
      </c>
      <c r="L148" s="70">
        <v>16</v>
      </c>
      <c r="M148" s="70">
        <v>21</v>
      </c>
      <c r="N148" s="70">
        <v>25</v>
      </c>
      <c r="O148" s="68" t="s">
        <v>274</v>
      </c>
      <c r="P148">
        <f t="shared" si="6"/>
        <v>281</v>
      </c>
      <c r="Q148">
        <f t="shared" si="7"/>
        <v>46.833333333333336</v>
      </c>
      <c r="R148">
        <f t="shared" si="8"/>
        <v>9.3666666666666671</v>
      </c>
    </row>
    <row r="149" spans="1:18" x14ac:dyDescent="0.25">
      <c r="A149" s="68">
        <v>17</v>
      </c>
      <c r="B149" s="69" t="s">
        <v>153</v>
      </c>
      <c r="C149" s="70">
        <v>27</v>
      </c>
      <c r="D149" s="70">
        <v>27</v>
      </c>
      <c r="E149" s="70">
        <v>5</v>
      </c>
      <c r="F149" s="70">
        <v>26</v>
      </c>
      <c r="G149" s="70">
        <v>29</v>
      </c>
      <c r="H149" s="70">
        <v>21</v>
      </c>
      <c r="I149" s="70">
        <v>19</v>
      </c>
      <c r="J149" s="70">
        <v>21</v>
      </c>
      <c r="K149" s="70">
        <v>21</v>
      </c>
      <c r="L149" s="70">
        <v>32</v>
      </c>
      <c r="M149" s="70">
        <v>26</v>
      </c>
      <c r="N149" s="70">
        <v>27</v>
      </c>
      <c r="O149" s="68" t="s">
        <v>274</v>
      </c>
      <c r="P149">
        <f t="shared" si="6"/>
        <v>281</v>
      </c>
      <c r="Q149">
        <f t="shared" si="7"/>
        <v>46.833333333333336</v>
      </c>
      <c r="R149">
        <f t="shared" si="8"/>
        <v>9.3666666666666671</v>
      </c>
    </row>
    <row r="150" spans="1:18" x14ac:dyDescent="0.25">
      <c r="A150" s="68">
        <v>18</v>
      </c>
      <c r="B150" s="69" t="s">
        <v>154</v>
      </c>
      <c r="C150" s="70">
        <v>15</v>
      </c>
      <c r="D150" s="70">
        <v>24</v>
      </c>
      <c r="E150" s="70">
        <v>11</v>
      </c>
      <c r="F150" s="70">
        <v>17</v>
      </c>
      <c r="G150" s="70">
        <v>24</v>
      </c>
      <c r="H150" s="70">
        <v>12</v>
      </c>
      <c r="I150" s="70">
        <v>13</v>
      </c>
      <c r="J150" s="70">
        <v>14</v>
      </c>
      <c r="K150" s="70">
        <v>22</v>
      </c>
      <c r="L150" s="70">
        <v>27</v>
      </c>
      <c r="M150" s="70">
        <v>19</v>
      </c>
      <c r="N150" s="70">
        <v>30</v>
      </c>
      <c r="O150" s="68" t="s">
        <v>274</v>
      </c>
      <c r="P150">
        <f t="shared" si="6"/>
        <v>228</v>
      </c>
      <c r="Q150">
        <f t="shared" si="7"/>
        <v>38</v>
      </c>
      <c r="R150">
        <f t="shared" si="8"/>
        <v>7.6000000000000005</v>
      </c>
    </row>
    <row r="151" spans="1:18" x14ac:dyDescent="0.25">
      <c r="A151" s="68">
        <v>19</v>
      </c>
      <c r="B151" s="69" t="s">
        <v>155</v>
      </c>
      <c r="C151" s="70">
        <v>24</v>
      </c>
      <c r="D151" s="70">
        <v>31</v>
      </c>
      <c r="E151" s="70">
        <v>23</v>
      </c>
      <c r="F151" s="70">
        <v>30</v>
      </c>
      <c r="G151" s="70">
        <v>27</v>
      </c>
      <c r="H151" s="70">
        <v>25</v>
      </c>
      <c r="I151" s="70">
        <v>30</v>
      </c>
      <c r="J151" s="70">
        <v>30</v>
      </c>
      <c r="K151" s="70">
        <v>36</v>
      </c>
      <c r="L151" s="70">
        <v>31</v>
      </c>
      <c r="M151" s="70">
        <v>25</v>
      </c>
      <c r="N151" s="70">
        <v>32</v>
      </c>
      <c r="O151" s="68" t="s">
        <v>274</v>
      </c>
      <c r="P151">
        <f t="shared" si="6"/>
        <v>344</v>
      </c>
      <c r="Q151">
        <f t="shared" si="7"/>
        <v>57.333333333333336</v>
      </c>
      <c r="R151">
        <f t="shared" si="8"/>
        <v>11.466666666666669</v>
      </c>
    </row>
    <row r="152" spans="1:18" x14ac:dyDescent="0.25">
      <c r="A152" s="68">
        <v>20</v>
      </c>
      <c r="B152" s="69" t="s">
        <v>156</v>
      </c>
      <c r="C152" s="70">
        <v>28</v>
      </c>
      <c r="D152" s="70">
        <v>36</v>
      </c>
      <c r="E152" s="70">
        <v>27</v>
      </c>
      <c r="F152" s="70">
        <v>37</v>
      </c>
      <c r="G152" s="70">
        <v>38</v>
      </c>
      <c r="H152" s="70">
        <v>21</v>
      </c>
      <c r="I152" s="70"/>
      <c r="J152" s="70"/>
      <c r="K152" s="70"/>
      <c r="L152" s="70"/>
      <c r="M152" s="70"/>
      <c r="N152" s="70"/>
      <c r="O152" s="68" t="s">
        <v>274</v>
      </c>
      <c r="P152">
        <f t="shared" si="6"/>
        <v>187</v>
      </c>
      <c r="Q152">
        <f t="shared" si="7"/>
        <v>31.166666666666664</v>
      </c>
      <c r="R152">
        <f t="shared" si="8"/>
        <v>6.2333333333333334</v>
      </c>
    </row>
    <row r="153" spans="1:18" x14ac:dyDescent="0.25">
      <c r="A153" s="68">
        <v>21</v>
      </c>
      <c r="B153" s="69" t="s">
        <v>157</v>
      </c>
      <c r="C153" s="70">
        <v>29</v>
      </c>
      <c r="D153" s="70">
        <v>35</v>
      </c>
      <c r="E153" s="70">
        <v>29</v>
      </c>
      <c r="F153" s="70">
        <v>27</v>
      </c>
      <c r="G153" s="70">
        <v>40</v>
      </c>
      <c r="H153" s="70">
        <v>24</v>
      </c>
      <c r="I153" s="70">
        <v>16</v>
      </c>
      <c r="J153" s="70">
        <v>27</v>
      </c>
      <c r="K153" s="70">
        <v>29</v>
      </c>
      <c r="L153" s="70">
        <v>28</v>
      </c>
      <c r="M153" s="70">
        <v>32</v>
      </c>
      <c r="N153" s="70">
        <v>30</v>
      </c>
      <c r="O153" s="68" t="s">
        <v>274</v>
      </c>
      <c r="P153">
        <f t="shared" si="6"/>
        <v>346</v>
      </c>
      <c r="Q153">
        <f t="shared" si="7"/>
        <v>57.666666666666664</v>
      </c>
      <c r="R153">
        <f t="shared" si="8"/>
        <v>11.533333333333333</v>
      </c>
    </row>
    <row r="154" spans="1:18" x14ac:dyDescent="0.25">
      <c r="A154" s="68">
        <v>22</v>
      </c>
      <c r="B154" s="69" t="s">
        <v>158</v>
      </c>
      <c r="C154" s="70">
        <v>27</v>
      </c>
      <c r="D154" s="70">
        <v>27</v>
      </c>
      <c r="E154" s="70">
        <v>29</v>
      </c>
      <c r="F154" s="70">
        <v>33</v>
      </c>
      <c r="G154" s="70">
        <v>32</v>
      </c>
      <c r="H154" s="70">
        <v>22</v>
      </c>
      <c r="I154" s="70"/>
      <c r="J154" s="70">
        <v>33</v>
      </c>
      <c r="K154" s="70">
        <v>32</v>
      </c>
      <c r="L154" s="70">
        <v>22</v>
      </c>
      <c r="M154" s="70">
        <v>24</v>
      </c>
      <c r="N154" s="70">
        <v>33</v>
      </c>
      <c r="O154" s="68" t="s">
        <v>274</v>
      </c>
      <c r="P154">
        <f t="shared" si="6"/>
        <v>314</v>
      </c>
      <c r="Q154">
        <f t="shared" si="7"/>
        <v>52.333333333333329</v>
      </c>
      <c r="R154">
        <f t="shared" si="8"/>
        <v>10.466666666666667</v>
      </c>
    </row>
    <row r="155" spans="1:18" x14ac:dyDescent="0.25">
      <c r="A155" s="68">
        <v>23</v>
      </c>
      <c r="B155" s="69" t="s">
        <v>159</v>
      </c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68" t="s">
        <v>274</v>
      </c>
      <c r="P155">
        <f t="shared" si="6"/>
        <v>0</v>
      </c>
      <c r="Q155">
        <f t="shared" si="7"/>
        <v>0</v>
      </c>
      <c r="R155">
        <f t="shared" si="8"/>
        <v>0</v>
      </c>
    </row>
    <row r="156" spans="1:18" x14ac:dyDescent="0.25">
      <c r="A156" s="68">
        <v>24</v>
      </c>
      <c r="B156" s="69" t="s">
        <v>160</v>
      </c>
      <c r="C156" s="70">
        <v>21</v>
      </c>
      <c r="D156" s="70">
        <v>34</v>
      </c>
      <c r="E156" s="70">
        <v>17</v>
      </c>
      <c r="F156" s="70">
        <v>22</v>
      </c>
      <c r="G156" s="70">
        <v>30</v>
      </c>
      <c r="H156" s="70">
        <v>25</v>
      </c>
      <c r="I156" s="70">
        <v>27</v>
      </c>
      <c r="J156" s="70">
        <v>29</v>
      </c>
      <c r="K156" s="70">
        <v>19</v>
      </c>
      <c r="L156" s="70">
        <v>18</v>
      </c>
      <c r="M156" s="70">
        <v>31</v>
      </c>
      <c r="N156" s="70">
        <v>39</v>
      </c>
      <c r="O156" s="68" t="s">
        <v>274</v>
      </c>
      <c r="P156">
        <f t="shared" si="6"/>
        <v>312</v>
      </c>
      <c r="Q156">
        <f t="shared" si="7"/>
        <v>52</v>
      </c>
      <c r="R156">
        <f t="shared" si="8"/>
        <v>10.4</v>
      </c>
    </row>
    <row r="157" spans="1:18" x14ac:dyDescent="0.25">
      <c r="A157" s="68">
        <v>25</v>
      </c>
      <c r="B157" s="69" t="s">
        <v>161</v>
      </c>
      <c r="C157" s="70">
        <v>23</v>
      </c>
      <c r="D157" s="70">
        <v>22</v>
      </c>
      <c r="E157" s="70">
        <v>18</v>
      </c>
      <c r="F157" s="70">
        <v>22</v>
      </c>
      <c r="G157" s="70">
        <v>20</v>
      </c>
      <c r="H157" s="70">
        <v>23</v>
      </c>
      <c r="I157" s="70">
        <v>18</v>
      </c>
      <c r="J157" s="70">
        <v>25</v>
      </c>
      <c r="K157" s="70">
        <v>24</v>
      </c>
      <c r="L157" s="70">
        <v>20</v>
      </c>
      <c r="M157" s="70">
        <v>24</v>
      </c>
      <c r="N157" s="70">
        <v>30</v>
      </c>
      <c r="O157" s="68" t="s">
        <v>274</v>
      </c>
      <c r="P157">
        <f t="shared" si="6"/>
        <v>269</v>
      </c>
      <c r="Q157">
        <f t="shared" si="7"/>
        <v>44.833333333333329</v>
      </c>
      <c r="R157">
        <f t="shared" si="8"/>
        <v>8.9666666666666668</v>
      </c>
    </row>
    <row r="158" spans="1:18" x14ac:dyDescent="0.25">
      <c r="A158" s="68">
        <v>26</v>
      </c>
      <c r="B158" s="69" t="s">
        <v>162</v>
      </c>
      <c r="C158" s="70">
        <v>33</v>
      </c>
      <c r="D158" s="70">
        <v>37</v>
      </c>
      <c r="E158" s="70">
        <v>28</v>
      </c>
      <c r="F158" s="70">
        <v>30</v>
      </c>
      <c r="G158" s="70">
        <v>32</v>
      </c>
      <c r="H158" s="70">
        <v>29</v>
      </c>
      <c r="I158" s="70"/>
      <c r="J158" s="70">
        <v>44</v>
      </c>
      <c r="K158" s="70">
        <v>43</v>
      </c>
      <c r="L158" s="70">
        <v>38</v>
      </c>
      <c r="M158" s="70">
        <v>36</v>
      </c>
      <c r="N158" s="70">
        <v>41</v>
      </c>
      <c r="O158" s="68" t="s">
        <v>274</v>
      </c>
      <c r="P158">
        <f t="shared" si="6"/>
        <v>391</v>
      </c>
      <c r="Q158">
        <f t="shared" si="7"/>
        <v>65.166666666666657</v>
      </c>
      <c r="R158">
        <f t="shared" si="8"/>
        <v>13.033333333333331</v>
      </c>
    </row>
    <row r="159" spans="1:18" x14ac:dyDescent="0.25">
      <c r="A159" s="68">
        <v>27</v>
      </c>
      <c r="B159" s="69" t="s">
        <v>163</v>
      </c>
      <c r="C159" s="70">
        <v>13</v>
      </c>
      <c r="D159" s="70">
        <v>34</v>
      </c>
      <c r="E159" s="70">
        <v>35</v>
      </c>
      <c r="F159" s="70">
        <v>27</v>
      </c>
      <c r="G159" s="70">
        <v>34</v>
      </c>
      <c r="H159" s="70">
        <v>23</v>
      </c>
      <c r="I159" s="70">
        <v>21</v>
      </c>
      <c r="J159" s="70">
        <v>20</v>
      </c>
      <c r="K159" s="70">
        <v>28</v>
      </c>
      <c r="L159" s="70">
        <v>27</v>
      </c>
      <c r="M159" s="70">
        <v>21</v>
      </c>
      <c r="N159" s="70">
        <v>27</v>
      </c>
      <c r="O159" s="68" t="s">
        <v>274</v>
      </c>
      <c r="P159">
        <f t="shared" si="6"/>
        <v>310</v>
      </c>
      <c r="Q159">
        <f t="shared" si="7"/>
        <v>51.666666666666671</v>
      </c>
      <c r="R159">
        <f t="shared" si="8"/>
        <v>10.333333333333336</v>
      </c>
    </row>
    <row r="160" spans="1:18" x14ac:dyDescent="0.25">
      <c r="A160" s="68">
        <v>28</v>
      </c>
      <c r="B160" s="69" t="s">
        <v>164</v>
      </c>
      <c r="C160" s="70"/>
      <c r="D160" s="70"/>
      <c r="E160" s="70"/>
      <c r="F160" s="70"/>
      <c r="G160" s="70"/>
      <c r="H160" s="70"/>
      <c r="I160" s="70">
        <v>17</v>
      </c>
      <c r="J160" s="70">
        <v>20</v>
      </c>
      <c r="K160" s="70">
        <v>23</v>
      </c>
      <c r="L160" s="70">
        <v>31</v>
      </c>
      <c r="M160" s="70">
        <v>23</v>
      </c>
      <c r="N160" s="70">
        <v>28</v>
      </c>
      <c r="O160" s="68" t="s">
        <v>274</v>
      </c>
      <c r="P160">
        <f t="shared" si="6"/>
        <v>142</v>
      </c>
      <c r="Q160">
        <f t="shared" si="7"/>
        <v>23.666666666666668</v>
      </c>
      <c r="R160">
        <f t="shared" si="8"/>
        <v>4.7333333333333334</v>
      </c>
    </row>
    <row r="161" spans="1:18" x14ac:dyDescent="0.25">
      <c r="A161" s="68">
        <v>29</v>
      </c>
      <c r="B161" s="69" t="s">
        <v>165</v>
      </c>
      <c r="C161" s="70">
        <v>22</v>
      </c>
      <c r="D161" s="70">
        <v>28</v>
      </c>
      <c r="E161" s="70">
        <v>20</v>
      </c>
      <c r="F161" s="70">
        <v>24</v>
      </c>
      <c r="G161" s="70">
        <v>15</v>
      </c>
      <c r="H161" s="70">
        <v>16</v>
      </c>
      <c r="I161" s="70">
        <v>22</v>
      </c>
      <c r="J161" s="70">
        <v>19</v>
      </c>
      <c r="K161" s="70">
        <v>24</v>
      </c>
      <c r="L161" s="70">
        <v>38</v>
      </c>
      <c r="M161" s="70">
        <v>27</v>
      </c>
      <c r="N161" s="70">
        <v>32</v>
      </c>
      <c r="O161" s="68" t="s">
        <v>274</v>
      </c>
      <c r="P161">
        <f t="shared" si="6"/>
        <v>287</v>
      </c>
      <c r="Q161">
        <f t="shared" si="7"/>
        <v>47.833333333333336</v>
      </c>
      <c r="R161">
        <f t="shared" si="8"/>
        <v>9.5666666666666682</v>
      </c>
    </row>
    <row r="162" spans="1:18" x14ac:dyDescent="0.25">
      <c r="A162" s="68">
        <v>30</v>
      </c>
      <c r="B162" s="69" t="s">
        <v>166</v>
      </c>
      <c r="C162" s="70">
        <v>27</v>
      </c>
      <c r="D162" s="70">
        <v>30</v>
      </c>
      <c r="E162" s="70">
        <v>26</v>
      </c>
      <c r="F162" s="70">
        <v>24</v>
      </c>
      <c r="G162" s="70">
        <v>24</v>
      </c>
      <c r="H162" s="70">
        <v>17</v>
      </c>
      <c r="I162" s="70">
        <v>31</v>
      </c>
      <c r="J162" s="70">
        <v>25</v>
      </c>
      <c r="K162" s="70">
        <v>36</v>
      </c>
      <c r="L162" s="70">
        <v>32</v>
      </c>
      <c r="M162" s="70">
        <v>25</v>
      </c>
      <c r="N162" s="70">
        <v>35</v>
      </c>
      <c r="O162" s="68" t="s">
        <v>274</v>
      </c>
      <c r="P162">
        <f t="shared" si="6"/>
        <v>332</v>
      </c>
      <c r="Q162">
        <f t="shared" si="7"/>
        <v>55.333333333333336</v>
      </c>
      <c r="R162">
        <f t="shared" si="8"/>
        <v>11.066666666666668</v>
      </c>
    </row>
    <row r="163" spans="1:18" x14ac:dyDescent="0.25">
      <c r="A163" s="68">
        <v>31</v>
      </c>
      <c r="B163" s="69" t="s">
        <v>167</v>
      </c>
      <c r="C163" s="70">
        <v>21</v>
      </c>
      <c r="D163" s="70">
        <v>25</v>
      </c>
      <c r="E163" s="70">
        <v>16</v>
      </c>
      <c r="F163" s="70">
        <v>24</v>
      </c>
      <c r="G163" s="70">
        <v>23</v>
      </c>
      <c r="H163" s="70">
        <v>24</v>
      </c>
      <c r="I163" s="70">
        <v>15</v>
      </c>
      <c r="J163" s="70">
        <v>18</v>
      </c>
      <c r="K163" s="70">
        <v>27</v>
      </c>
      <c r="L163" s="70">
        <v>43</v>
      </c>
      <c r="M163" s="70">
        <v>25</v>
      </c>
      <c r="N163" s="70">
        <v>28</v>
      </c>
      <c r="O163" s="68" t="s">
        <v>274</v>
      </c>
      <c r="P163">
        <f t="shared" si="6"/>
        <v>289</v>
      </c>
      <c r="Q163">
        <f t="shared" si="7"/>
        <v>48.166666666666671</v>
      </c>
      <c r="R163">
        <f t="shared" si="8"/>
        <v>9.6333333333333346</v>
      </c>
    </row>
    <row r="164" spans="1:18" x14ac:dyDescent="0.25">
      <c r="A164" s="68">
        <v>32</v>
      </c>
      <c r="B164" s="69" t="s">
        <v>168</v>
      </c>
      <c r="C164" s="70">
        <v>21</v>
      </c>
      <c r="D164" s="70">
        <v>21</v>
      </c>
      <c r="E164" s="70">
        <v>18</v>
      </c>
      <c r="F164" s="70">
        <v>20</v>
      </c>
      <c r="G164" s="70">
        <v>15</v>
      </c>
      <c r="H164" s="70">
        <v>21</v>
      </c>
      <c r="I164" s="70">
        <v>13</v>
      </c>
      <c r="J164" s="70">
        <v>22</v>
      </c>
      <c r="K164" s="70">
        <v>27</v>
      </c>
      <c r="L164" s="70">
        <v>19</v>
      </c>
      <c r="M164" s="70">
        <v>21</v>
      </c>
      <c r="N164" s="70">
        <v>23</v>
      </c>
      <c r="O164" s="68" t="s">
        <v>274</v>
      </c>
      <c r="P164">
        <f t="shared" si="6"/>
        <v>241</v>
      </c>
      <c r="Q164">
        <f t="shared" si="7"/>
        <v>40.166666666666664</v>
      </c>
      <c r="R164">
        <f t="shared" si="8"/>
        <v>8.0333333333333332</v>
      </c>
    </row>
    <row r="165" spans="1:18" x14ac:dyDescent="0.25">
      <c r="A165" s="68">
        <v>33</v>
      </c>
      <c r="B165" s="69" t="s">
        <v>169</v>
      </c>
      <c r="C165" s="70">
        <v>38</v>
      </c>
      <c r="D165" s="70">
        <v>44</v>
      </c>
      <c r="E165" s="70">
        <v>46</v>
      </c>
      <c r="F165" s="70">
        <v>49</v>
      </c>
      <c r="G165" s="70">
        <v>44</v>
      </c>
      <c r="H165" s="70">
        <v>42</v>
      </c>
      <c r="I165" s="70">
        <v>30</v>
      </c>
      <c r="J165" s="70">
        <v>44</v>
      </c>
      <c r="K165" s="70"/>
      <c r="L165" s="70">
        <v>26</v>
      </c>
      <c r="M165" s="70">
        <v>39</v>
      </c>
      <c r="N165" s="70">
        <v>34</v>
      </c>
      <c r="O165" s="68" t="s">
        <v>274</v>
      </c>
      <c r="P165">
        <f t="shared" si="6"/>
        <v>436</v>
      </c>
      <c r="Q165">
        <f t="shared" si="7"/>
        <v>72.666666666666671</v>
      </c>
      <c r="R165">
        <f t="shared" si="8"/>
        <v>14.533333333333335</v>
      </c>
    </row>
    <row r="166" spans="1:18" x14ac:dyDescent="0.25">
      <c r="A166" s="68">
        <v>34</v>
      </c>
      <c r="B166" s="69" t="s">
        <v>170</v>
      </c>
      <c r="C166" s="70">
        <v>27</v>
      </c>
      <c r="D166" s="70">
        <v>27</v>
      </c>
      <c r="E166" s="70">
        <v>17</v>
      </c>
      <c r="F166" s="70">
        <v>30</v>
      </c>
      <c r="G166" s="70">
        <v>21</v>
      </c>
      <c r="H166" s="70">
        <v>26</v>
      </c>
      <c r="I166" s="70">
        <v>19</v>
      </c>
      <c r="J166" s="70">
        <v>25</v>
      </c>
      <c r="K166" s="70">
        <v>18</v>
      </c>
      <c r="L166" s="70">
        <v>20</v>
      </c>
      <c r="M166" s="70">
        <v>26</v>
      </c>
      <c r="N166" s="70">
        <v>34</v>
      </c>
      <c r="O166" s="68" t="s">
        <v>274</v>
      </c>
      <c r="P166">
        <f t="shared" si="6"/>
        <v>290</v>
      </c>
      <c r="Q166">
        <f t="shared" si="7"/>
        <v>48.333333333333336</v>
      </c>
      <c r="R166">
        <f t="shared" si="8"/>
        <v>9.6666666666666679</v>
      </c>
    </row>
    <row r="167" spans="1:18" x14ac:dyDescent="0.25">
      <c r="A167" s="68">
        <v>35</v>
      </c>
      <c r="B167" s="69" t="s">
        <v>171</v>
      </c>
      <c r="C167" s="70">
        <v>25</v>
      </c>
      <c r="D167" s="70">
        <v>25</v>
      </c>
      <c r="E167" s="70">
        <v>31</v>
      </c>
      <c r="F167" s="70">
        <v>39</v>
      </c>
      <c r="G167" s="70">
        <v>44</v>
      </c>
      <c r="H167" s="70">
        <v>23</v>
      </c>
      <c r="I167" s="70">
        <v>31</v>
      </c>
      <c r="J167" s="70">
        <v>44</v>
      </c>
      <c r="K167" s="70">
        <v>38</v>
      </c>
      <c r="L167" s="70">
        <v>35</v>
      </c>
      <c r="M167" s="70">
        <v>39</v>
      </c>
      <c r="N167" s="70">
        <v>46</v>
      </c>
      <c r="O167" s="68" t="s">
        <v>275</v>
      </c>
      <c r="P167">
        <f t="shared" si="6"/>
        <v>420</v>
      </c>
      <c r="Q167">
        <f t="shared" si="7"/>
        <v>70</v>
      </c>
      <c r="R167">
        <f t="shared" si="8"/>
        <v>14</v>
      </c>
    </row>
    <row r="168" spans="1:18" x14ac:dyDescent="0.25">
      <c r="A168" s="68">
        <v>36</v>
      </c>
      <c r="B168" s="69" t="s">
        <v>172</v>
      </c>
      <c r="C168" s="70">
        <v>23</v>
      </c>
      <c r="D168" s="70">
        <v>23</v>
      </c>
      <c r="E168" s="70">
        <v>17</v>
      </c>
      <c r="F168" s="70">
        <v>26</v>
      </c>
      <c r="G168" s="70">
        <v>13</v>
      </c>
      <c r="H168" s="70">
        <v>17</v>
      </c>
      <c r="I168" s="70">
        <v>20</v>
      </c>
      <c r="J168" s="70">
        <v>20</v>
      </c>
      <c r="K168" s="70">
        <v>22</v>
      </c>
      <c r="L168" s="70">
        <v>27</v>
      </c>
      <c r="M168" s="70">
        <v>19</v>
      </c>
      <c r="N168" s="70">
        <v>31</v>
      </c>
      <c r="O168" s="68" t="s">
        <v>275</v>
      </c>
      <c r="P168">
        <f t="shared" si="6"/>
        <v>258</v>
      </c>
      <c r="Q168">
        <f t="shared" si="7"/>
        <v>43</v>
      </c>
      <c r="R168">
        <f t="shared" si="8"/>
        <v>8.6</v>
      </c>
    </row>
    <row r="169" spans="1:18" x14ac:dyDescent="0.25">
      <c r="A169" s="68">
        <v>37</v>
      </c>
      <c r="B169" s="69" t="s">
        <v>173</v>
      </c>
      <c r="C169" s="70">
        <v>38</v>
      </c>
      <c r="D169" s="70">
        <v>37</v>
      </c>
      <c r="E169" s="70">
        <v>29</v>
      </c>
      <c r="F169" s="70">
        <v>35</v>
      </c>
      <c r="G169" s="70">
        <v>34</v>
      </c>
      <c r="H169" s="70">
        <v>27</v>
      </c>
      <c r="I169" s="70">
        <v>20</v>
      </c>
      <c r="J169" s="70">
        <v>20</v>
      </c>
      <c r="K169" s="70">
        <v>18</v>
      </c>
      <c r="L169" s="70">
        <v>27</v>
      </c>
      <c r="M169" s="70">
        <v>13</v>
      </c>
      <c r="N169" s="70">
        <v>29</v>
      </c>
      <c r="O169" s="68" t="s">
        <v>275</v>
      </c>
      <c r="P169">
        <f t="shared" si="6"/>
        <v>327</v>
      </c>
      <c r="Q169">
        <f t="shared" si="7"/>
        <v>54.500000000000007</v>
      </c>
      <c r="R169">
        <f t="shared" si="8"/>
        <v>10.900000000000002</v>
      </c>
    </row>
    <row r="170" spans="1:18" x14ac:dyDescent="0.25">
      <c r="A170" s="68">
        <v>38</v>
      </c>
      <c r="B170" s="69" t="s">
        <v>174</v>
      </c>
      <c r="C170" s="70"/>
      <c r="D170" s="70"/>
      <c r="E170" s="70"/>
      <c r="F170" s="70"/>
      <c r="G170" s="70"/>
      <c r="H170" s="70"/>
      <c r="I170" s="70"/>
      <c r="J170" s="70">
        <v>21</v>
      </c>
      <c r="K170" s="70">
        <v>38</v>
      </c>
      <c r="L170" s="70">
        <v>34</v>
      </c>
      <c r="M170" s="70">
        <v>24</v>
      </c>
      <c r="N170" s="70">
        <v>35</v>
      </c>
      <c r="O170" s="68" t="s">
        <v>275</v>
      </c>
      <c r="P170">
        <f t="shared" si="6"/>
        <v>152</v>
      </c>
      <c r="Q170">
        <f t="shared" si="7"/>
        <v>25.333333333333336</v>
      </c>
      <c r="R170">
        <f t="shared" si="8"/>
        <v>5.0666666666666673</v>
      </c>
    </row>
    <row r="171" spans="1:18" x14ac:dyDescent="0.25">
      <c r="A171" s="68">
        <v>39</v>
      </c>
      <c r="B171" s="69" t="s">
        <v>175</v>
      </c>
      <c r="C171" s="70">
        <v>39</v>
      </c>
      <c r="D171" s="70">
        <v>43</v>
      </c>
      <c r="E171" s="70">
        <v>41</v>
      </c>
      <c r="F171" s="70">
        <v>39</v>
      </c>
      <c r="G171" s="70">
        <v>43</v>
      </c>
      <c r="H171" s="70">
        <v>39</v>
      </c>
      <c r="I171" s="70">
        <v>41</v>
      </c>
      <c r="J171" s="70">
        <v>45</v>
      </c>
      <c r="K171" s="70">
        <v>39</v>
      </c>
      <c r="L171" s="70">
        <v>38</v>
      </c>
      <c r="M171" s="70">
        <v>42</v>
      </c>
      <c r="N171" s="70">
        <v>45</v>
      </c>
      <c r="O171" s="68" t="s">
        <v>275</v>
      </c>
      <c r="P171">
        <f t="shared" si="6"/>
        <v>494</v>
      </c>
      <c r="Q171">
        <f t="shared" si="7"/>
        <v>82.333333333333343</v>
      </c>
      <c r="R171">
        <f t="shared" si="8"/>
        <v>16.466666666666669</v>
      </c>
    </row>
    <row r="172" spans="1:18" x14ac:dyDescent="0.25">
      <c r="A172" s="68">
        <v>40</v>
      </c>
      <c r="B172" s="69" t="s">
        <v>176</v>
      </c>
      <c r="C172" s="70">
        <v>15</v>
      </c>
      <c r="D172" s="70">
        <v>17</v>
      </c>
      <c r="E172" s="70">
        <v>10</v>
      </c>
      <c r="F172" s="70">
        <v>13</v>
      </c>
      <c r="G172" s="70">
        <v>21</v>
      </c>
      <c r="H172" s="70">
        <v>18</v>
      </c>
      <c r="I172" s="70">
        <v>22</v>
      </c>
      <c r="J172" s="70">
        <v>26</v>
      </c>
      <c r="K172" s="70">
        <v>14</v>
      </c>
      <c r="L172" s="70">
        <v>28</v>
      </c>
      <c r="M172" s="70">
        <v>16</v>
      </c>
      <c r="N172" s="70">
        <v>27</v>
      </c>
      <c r="O172" s="68" t="s">
        <v>275</v>
      </c>
      <c r="P172">
        <f t="shared" si="6"/>
        <v>227</v>
      </c>
      <c r="Q172">
        <f t="shared" si="7"/>
        <v>37.833333333333336</v>
      </c>
      <c r="R172">
        <f t="shared" si="8"/>
        <v>7.5666666666666673</v>
      </c>
    </row>
    <row r="173" spans="1:18" x14ac:dyDescent="0.25">
      <c r="A173" s="68">
        <v>41</v>
      </c>
      <c r="B173" s="69" t="s">
        <v>177</v>
      </c>
      <c r="C173" s="70">
        <v>17</v>
      </c>
      <c r="D173" s="70">
        <v>12</v>
      </c>
      <c r="E173" s="70">
        <v>18</v>
      </c>
      <c r="F173" s="70">
        <v>22</v>
      </c>
      <c r="G173" s="70">
        <v>17</v>
      </c>
      <c r="H173" s="70">
        <v>19</v>
      </c>
      <c r="I173" s="70"/>
      <c r="J173" s="70"/>
      <c r="K173" s="70"/>
      <c r="L173" s="70"/>
      <c r="M173" s="70"/>
      <c r="N173" s="70"/>
      <c r="O173" s="68" t="s">
        <v>275</v>
      </c>
      <c r="P173">
        <f t="shared" si="6"/>
        <v>105</v>
      </c>
      <c r="Q173">
        <f t="shared" si="7"/>
        <v>17.5</v>
      </c>
      <c r="R173">
        <f t="shared" si="8"/>
        <v>3.5</v>
      </c>
    </row>
    <row r="174" spans="1:18" x14ac:dyDescent="0.25">
      <c r="A174" s="68">
        <v>1</v>
      </c>
      <c r="B174" s="69" t="s">
        <v>178</v>
      </c>
      <c r="C174" s="70"/>
      <c r="D174" s="70"/>
      <c r="E174" s="70"/>
      <c r="F174" s="70"/>
      <c r="G174" s="70"/>
      <c r="H174" s="70"/>
      <c r="I174" s="70"/>
      <c r="J174" s="70">
        <v>26</v>
      </c>
      <c r="K174" s="70"/>
      <c r="L174" s="70"/>
      <c r="M174" s="70">
        <v>19</v>
      </c>
      <c r="N174" s="70">
        <v>28</v>
      </c>
      <c r="O174" s="68" t="s">
        <v>276</v>
      </c>
      <c r="P174">
        <f t="shared" si="6"/>
        <v>73</v>
      </c>
      <c r="Q174">
        <f t="shared" si="7"/>
        <v>12.166666666666668</v>
      </c>
      <c r="R174">
        <f t="shared" si="8"/>
        <v>2.4333333333333336</v>
      </c>
    </row>
    <row r="175" spans="1:18" x14ac:dyDescent="0.25">
      <c r="A175" s="68">
        <v>2</v>
      </c>
      <c r="B175" s="69" t="s">
        <v>179</v>
      </c>
      <c r="C175" s="70"/>
      <c r="D175" s="70">
        <v>22</v>
      </c>
      <c r="E175" s="70">
        <v>20</v>
      </c>
      <c r="F175" s="70">
        <v>16</v>
      </c>
      <c r="G175" s="70">
        <v>15</v>
      </c>
      <c r="H175" s="70">
        <v>13</v>
      </c>
      <c r="I175" s="70"/>
      <c r="J175" s="70"/>
      <c r="K175" s="70"/>
      <c r="L175" s="70"/>
      <c r="M175" s="70"/>
      <c r="N175" s="70"/>
      <c r="O175" s="68" t="s">
        <v>276</v>
      </c>
      <c r="P175">
        <f t="shared" si="6"/>
        <v>86</v>
      </c>
      <c r="Q175">
        <f t="shared" si="7"/>
        <v>14.333333333333334</v>
      </c>
      <c r="R175">
        <f t="shared" si="8"/>
        <v>2.8666666666666671</v>
      </c>
    </row>
    <row r="176" spans="1:18" x14ac:dyDescent="0.25">
      <c r="A176" s="68">
        <v>3</v>
      </c>
      <c r="B176" s="69" t="s">
        <v>180</v>
      </c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68" t="s">
        <v>276</v>
      </c>
      <c r="P176">
        <f t="shared" si="6"/>
        <v>0</v>
      </c>
      <c r="Q176">
        <f t="shared" si="7"/>
        <v>0</v>
      </c>
      <c r="R176">
        <f t="shared" si="8"/>
        <v>0</v>
      </c>
    </row>
    <row r="177" spans="1:18" x14ac:dyDescent="0.25">
      <c r="A177" s="68">
        <v>4</v>
      </c>
      <c r="B177" s="69" t="s">
        <v>181</v>
      </c>
      <c r="C177" s="70">
        <v>21</v>
      </c>
      <c r="D177" s="70">
        <v>14</v>
      </c>
      <c r="E177" s="70">
        <v>18</v>
      </c>
      <c r="F177" s="70">
        <v>30</v>
      </c>
      <c r="G177" s="70">
        <v>24</v>
      </c>
      <c r="H177" s="70">
        <v>20</v>
      </c>
      <c r="I177" s="70"/>
      <c r="J177" s="70">
        <v>20</v>
      </c>
      <c r="K177" s="70">
        <v>18</v>
      </c>
      <c r="L177" s="70">
        <v>16</v>
      </c>
      <c r="M177" s="70">
        <v>25</v>
      </c>
      <c r="N177" s="70">
        <v>32</v>
      </c>
      <c r="O177" s="68" t="s">
        <v>276</v>
      </c>
      <c r="P177">
        <f t="shared" si="6"/>
        <v>238</v>
      </c>
      <c r="Q177">
        <f t="shared" si="7"/>
        <v>39.666666666666664</v>
      </c>
      <c r="R177">
        <f t="shared" si="8"/>
        <v>7.9333333333333336</v>
      </c>
    </row>
    <row r="178" spans="1:18" x14ac:dyDescent="0.25">
      <c r="A178" s="68">
        <v>5</v>
      </c>
      <c r="B178" s="69" t="s">
        <v>182</v>
      </c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68" t="s">
        <v>276</v>
      </c>
      <c r="P178">
        <f t="shared" si="6"/>
        <v>0</v>
      </c>
      <c r="Q178">
        <f t="shared" si="7"/>
        <v>0</v>
      </c>
      <c r="R178">
        <f t="shared" si="8"/>
        <v>0</v>
      </c>
    </row>
    <row r="179" spans="1:18" x14ac:dyDescent="0.25">
      <c r="A179" s="68">
        <v>6</v>
      </c>
      <c r="B179" s="69" t="s">
        <v>183</v>
      </c>
      <c r="C179" s="70"/>
      <c r="D179" s="70"/>
      <c r="E179" s="70"/>
      <c r="F179" s="70"/>
      <c r="G179" s="70"/>
      <c r="H179" s="70"/>
      <c r="I179" s="70"/>
      <c r="J179" s="70">
        <v>25</v>
      </c>
      <c r="K179" s="70"/>
      <c r="L179" s="70">
        <v>24</v>
      </c>
      <c r="M179" s="70"/>
      <c r="N179" s="70">
        <v>32</v>
      </c>
      <c r="O179" s="68" t="s">
        <v>276</v>
      </c>
      <c r="P179">
        <f t="shared" si="6"/>
        <v>81</v>
      </c>
      <c r="Q179">
        <f t="shared" si="7"/>
        <v>13.5</v>
      </c>
      <c r="R179">
        <f t="shared" si="8"/>
        <v>2.7</v>
      </c>
    </row>
    <row r="180" spans="1:18" x14ac:dyDescent="0.25">
      <c r="A180" s="68">
        <v>7</v>
      </c>
      <c r="B180" s="69" t="s">
        <v>184</v>
      </c>
      <c r="C180" s="70"/>
      <c r="D180" s="70"/>
      <c r="E180" s="70"/>
      <c r="F180" s="70"/>
      <c r="G180" s="70"/>
      <c r="H180" s="70"/>
      <c r="I180" s="70">
        <v>24</v>
      </c>
      <c r="J180" s="70">
        <v>29</v>
      </c>
      <c r="K180" s="70">
        <v>36</v>
      </c>
      <c r="L180" s="70">
        <v>29</v>
      </c>
      <c r="M180" s="70">
        <v>29</v>
      </c>
      <c r="N180" s="70">
        <v>37</v>
      </c>
      <c r="O180" s="68" t="s">
        <v>276</v>
      </c>
      <c r="P180">
        <f t="shared" si="6"/>
        <v>184</v>
      </c>
      <c r="Q180">
        <f t="shared" si="7"/>
        <v>30.666666666666664</v>
      </c>
      <c r="R180">
        <f t="shared" si="8"/>
        <v>6.1333333333333329</v>
      </c>
    </row>
    <row r="181" spans="1:18" x14ac:dyDescent="0.25">
      <c r="A181" s="68">
        <v>8</v>
      </c>
      <c r="B181" s="69" t="s">
        <v>185</v>
      </c>
      <c r="C181" s="70"/>
      <c r="D181" s="70"/>
      <c r="E181" s="70"/>
      <c r="F181" s="70"/>
      <c r="G181" s="70"/>
      <c r="H181" s="70"/>
      <c r="I181" s="70">
        <v>37</v>
      </c>
      <c r="J181" s="70"/>
      <c r="K181" s="70">
        <v>42</v>
      </c>
      <c r="L181" s="70">
        <v>43</v>
      </c>
      <c r="M181" s="70"/>
      <c r="N181" s="70"/>
      <c r="O181" s="68" t="s">
        <v>276</v>
      </c>
      <c r="P181">
        <f t="shared" si="6"/>
        <v>122</v>
      </c>
      <c r="Q181">
        <f t="shared" si="7"/>
        <v>20.333333333333332</v>
      </c>
      <c r="R181">
        <f t="shared" si="8"/>
        <v>4.0666666666666664</v>
      </c>
    </row>
    <row r="182" spans="1:18" x14ac:dyDescent="0.25">
      <c r="A182" s="68">
        <v>1</v>
      </c>
      <c r="B182" s="69" t="s">
        <v>186</v>
      </c>
      <c r="C182" s="70">
        <v>40</v>
      </c>
      <c r="D182" s="70">
        <v>38</v>
      </c>
      <c r="E182" s="70">
        <v>30</v>
      </c>
      <c r="F182" s="70">
        <v>38</v>
      </c>
      <c r="G182" s="70">
        <v>40</v>
      </c>
      <c r="H182" s="70">
        <v>34</v>
      </c>
      <c r="I182" s="70">
        <v>31</v>
      </c>
      <c r="J182" s="70">
        <v>33</v>
      </c>
      <c r="K182" s="70">
        <v>42</v>
      </c>
      <c r="L182" s="70">
        <v>32</v>
      </c>
      <c r="M182" s="70">
        <v>31</v>
      </c>
      <c r="N182" s="70">
        <v>41</v>
      </c>
      <c r="O182" s="68" t="s">
        <v>277</v>
      </c>
      <c r="P182">
        <f t="shared" si="6"/>
        <v>430</v>
      </c>
      <c r="Q182">
        <f t="shared" si="7"/>
        <v>71.666666666666671</v>
      </c>
      <c r="R182">
        <f t="shared" si="8"/>
        <v>14.333333333333336</v>
      </c>
    </row>
    <row r="183" spans="1:18" x14ac:dyDescent="0.25">
      <c r="A183" s="68">
        <v>2</v>
      </c>
      <c r="B183" s="69" t="s">
        <v>187</v>
      </c>
      <c r="C183" s="70">
        <v>27</v>
      </c>
      <c r="D183" s="70">
        <v>24</v>
      </c>
      <c r="E183" s="70">
        <v>26</v>
      </c>
      <c r="F183" s="70">
        <v>30</v>
      </c>
      <c r="G183" s="70">
        <v>36</v>
      </c>
      <c r="H183" s="70">
        <v>24</v>
      </c>
      <c r="I183" s="70">
        <v>26</v>
      </c>
      <c r="J183" s="70">
        <v>29</v>
      </c>
      <c r="K183" s="70">
        <v>30</v>
      </c>
      <c r="L183" s="70">
        <v>27</v>
      </c>
      <c r="M183" s="70">
        <v>31</v>
      </c>
      <c r="N183" s="70">
        <v>31</v>
      </c>
      <c r="O183" s="68" t="s">
        <v>277</v>
      </c>
      <c r="P183">
        <f t="shared" si="6"/>
        <v>341</v>
      </c>
      <c r="Q183">
        <f t="shared" si="7"/>
        <v>56.833333333333336</v>
      </c>
      <c r="R183">
        <f t="shared" si="8"/>
        <v>11.366666666666667</v>
      </c>
    </row>
    <row r="184" spans="1:18" x14ac:dyDescent="0.25">
      <c r="A184" s="68">
        <v>3</v>
      </c>
      <c r="B184" s="69" t="s">
        <v>188</v>
      </c>
      <c r="C184" s="70">
        <v>31</v>
      </c>
      <c r="D184" s="70">
        <v>28</v>
      </c>
      <c r="E184" s="70">
        <v>22</v>
      </c>
      <c r="F184" s="70">
        <v>31</v>
      </c>
      <c r="G184" s="70">
        <v>25</v>
      </c>
      <c r="H184" s="70">
        <v>24</v>
      </c>
      <c r="I184" s="70"/>
      <c r="J184" s="70">
        <v>21</v>
      </c>
      <c r="K184" s="70">
        <v>21</v>
      </c>
      <c r="L184" s="70">
        <v>16</v>
      </c>
      <c r="M184" s="70"/>
      <c r="N184" s="70"/>
      <c r="O184" s="68" t="s">
        <v>277</v>
      </c>
      <c r="P184">
        <f t="shared" si="6"/>
        <v>219</v>
      </c>
      <c r="Q184">
        <f t="shared" si="7"/>
        <v>36.5</v>
      </c>
      <c r="R184">
        <f t="shared" si="8"/>
        <v>7.3000000000000007</v>
      </c>
    </row>
    <row r="185" spans="1:18" x14ac:dyDescent="0.25">
      <c r="A185" s="68">
        <v>4</v>
      </c>
      <c r="B185" s="69" t="s">
        <v>189</v>
      </c>
      <c r="C185" s="70">
        <v>39</v>
      </c>
      <c r="D185" s="70">
        <v>41</v>
      </c>
      <c r="E185" s="70">
        <v>34</v>
      </c>
      <c r="F185" s="70">
        <v>43</v>
      </c>
      <c r="G185" s="70">
        <v>47</v>
      </c>
      <c r="H185" s="70">
        <v>41</v>
      </c>
      <c r="I185" s="70">
        <v>29</v>
      </c>
      <c r="J185" s="70">
        <v>45</v>
      </c>
      <c r="K185" s="70">
        <v>42</v>
      </c>
      <c r="L185" s="70">
        <v>37</v>
      </c>
      <c r="M185" s="70">
        <v>38</v>
      </c>
      <c r="N185" s="70">
        <v>45</v>
      </c>
      <c r="O185" s="68" t="s">
        <v>277</v>
      </c>
      <c r="P185">
        <f t="shared" si="6"/>
        <v>481</v>
      </c>
      <c r="Q185">
        <f t="shared" si="7"/>
        <v>80.166666666666657</v>
      </c>
      <c r="R185">
        <f t="shared" si="8"/>
        <v>16.033333333333331</v>
      </c>
    </row>
    <row r="186" spans="1:18" x14ac:dyDescent="0.25">
      <c r="A186" s="68">
        <v>5</v>
      </c>
      <c r="B186" s="69" t="s">
        <v>190</v>
      </c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68" t="s">
        <v>277</v>
      </c>
      <c r="P186">
        <f t="shared" si="6"/>
        <v>0</v>
      </c>
      <c r="Q186">
        <f t="shared" si="7"/>
        <v>0</v>
      </c>
      <c r="R186">
        <f t="shared" si="8"/>
        <v>0</v>
      </c>
    </row>
    <row r="187" spans="1:18" x14ac:dyDescent="0.25">
      <c r="A187" s="68">
        <v>6</v>
      </c>
      <c r="B187" s="69" t="s">
        <v>191</v>
      </c>
      <c r="C187" s="70">
        <v>34</v>
      </c>
      <c r="D187" s="70">
        <v>34</v>
      </c>
      <c r="E187" s="70">
        <v>30</v>
      </c>
      <c r="F187" s="70">
        <v>36</v>
      </c>
      <c r="G187" s="70">
        <v>39</v>
      </c>
      <c r="H187" s="70">
        <v>35</v>
      </c>
      <c r="I187" s="70">
        <v>22</v>
      </c>
      <c r="J187" s="70">
        <v>37</v>
      </c>
      <c r="K187" s="70">
        <v>43</v>
      </c>
      <c r="L187" s="70">
        <v>33</v>
      </c>
      <c r="M187" s="70">
        <v>29</v>
      </c>
      <c r="N187" s="70">
        <v>44</v>
      </c>
      <c r="O187" s="68" t="s">
        <v>277</v>
      </c>
      <c r="P187">
        <f t="shared" si="6"/>
        <v>416</v>
      </c>
      <c r="Q187">
        <f t="shared" si="7"/>
        <v>69.333333333333343</v>
      </c>
      <c r="R187">
        <f t="shared" si="8"/>
        <v>13.866666666666669</v>
      </c>
    </row>
    <row r="188" spans="1:18" x14ac:dyDescent="0.25">
      <c r="A188" s="68">
        <v>7</v>
      </c>
      <c r="B188" s="69" t="s">
        <v>192</v>
      </c>
      <c r="C188" s="70">
        <v>44</v>
      </c>
      <c r="D188" s="70">
        <v>44</v>
      </c>
      <c r="E188" s="70">
        <v>45</v>
      </c>
      <c r="F188" s="70">
        <v>48</v>
      </c>
      <c r="G188" s="70">
        <v>48</v>
      </c>
      <c r="H188" s="70">
        <v>42</v>
      </c>
      <c r="I188" s="70">
        <v>39</v>
      </c>
      <c r="J188" s="70">
        <v>46</v>
      </c>
      <c r="K188" s="70">
        <v>31</v>
      </c>
      <c r="L188" s="70">
        <v>16</v>
      </c>
      <c r="M188" s="70">
        <v>39</v>
      </c>
      <c r="N188" s="70">
        <v>44</v>
      </c>
      <c r="O188" s="68" t="s">
        <v>277</v>
      </c>
      <c r="P188">
        <f t="shared" si="6"/>
        <v>486</v>
      </c>
      <c r="Q188">
        <f t="shared" si="7"/>
        <v>81</v>
      </c>
      <c r="R188">
        <f t="shared" si="8"/>
        <v>16.2</v>
      </c>
    </row>
    <row r="189" spans="1:18" x14ac:dyDescent="0.25">
      <c r="A189" s="68">
        <v>8</v>
      </c>
      <c r="B189" s="69" t="s">
        <v>193</v>
      </c>
      <c r="C189" s="70">
        <v>32</v>
      </c>
      <c r="D189" s="70">
        <v>34</v>
      </c>
      <c r="E189" s="70">
        <v>26</v>
      </c>
      <c r="F189" s="70">
        <v>27</v>
      </c>
      <c r="G189" s="70">
        <v>34</v>
      </c>
      <c r="H189" s="70">
        <v>34</v>
      </c>
      <c r="I189" s="70">
        <v>29</v>
      </c>
      <c r="J189" s="70">
        <v>38</v>
      </c>
      <c r="K189" s="70">
        <v>42</v>
      </c>
      <c r="L189" s="70"/>
      <c r="M189" s="70">
        <v>36</v>
      </c>
      <c r="N189" s="70">
        <v>46</v>
      </c>
      <c r="O189" s="68" t="s">
        <v>277</v>
      </c>
      <c r="P189">
        <f t="shared" si="6"/>
        <v>378</v>
      </c>
      <c r="Q189">
        <f t="shared" si="7"/>
        <v>63</v>
      </c>
      <c r="R189">
        <f t="shared" si="8"/>
        <v>12.600000000000001</v>
      </c>
    </row>
    <row r="190" spans="1:18" x14ac:dyDescent="0.25">
      <c r="A190" s="68">
        <v>9</v>
      </c>
      <c r="B190" s="69" t="s">
        <v>194</v>
      </c>
      <c r="C190" s="70">
        <v>37</v>
      </c>
      <c r="D190" s="70">
        <v>40</v>
      </c>
      <c r="E190" s="70">
        <v>35</v>
      </c>
      <c r="F190" s="70">
        <v>42</v>
      </c>
      <c r="G190" s="70">
        <v>40</v>
      </c>
      <c r="H190" s="70">
        <v>32</v>
      </c>
      <c r="I190" s="70">
        <v>37</v>
      </c>
      <c r="J190" s="70">
        <v>45</v>
      </c>
      <c r="K190" s="70">
        <v>40</v>
      </c>
      <c r="L190" s="70">
        <v>36</v>
      </c>
      <c r="M190" s="70">
        <v>41</v>
      </c>
      <c r="N190" s="70">
        <v>44</v>
      </c>
      <c r="O190" s="68" t="s">
        <v>277</v>
      </c>
      <c r="P190">
        <f t="shared" si="6"/>
        <v>469</v>
      </c>
      <c r="Q190">
        <f t="shared" si="7"/>
        <v>78.166666666666657</v>
      </c>
      <c r="R190">
        <f t="shared" si="8"/>
        <v>15.633333333333333</v>
      </c>
    </row>
    <row r="191" spans="1:18" x14ac:dyDescent="0.25">
      <c r="A191" s="68">
        <v>10</v>
      </c>
      <c r="B191" s="69" t="s">
        <v>195</v>
      </c>
      <c r="C191" s="70">
        <v>36</v>
      </c>
      <c r="D191" s="70">
        <v>37</v>
      </c>
      <c r="E191" s="70">
        <v>24</v>
      </c>
      <c r="F191" s="70">
        <v>34</v>
      </c>
      <c r="G191" s="70">
        <v>36</v>
      </c>
      <c r="H191" s="70">
        <v>32</v>
      </c>
      <c r="I191" s="70">
        <v>18</v>
      </c>
      <c r="J191" s="70">
        <v>36</v>
      </c>
      <c r="K191" s="70">
        <v>34</v>
      </c>
      <c r="L191" s="70">
        <v>20</v>
      </c>
      <c r="M191" s="70">
        <v>35</v>
      </c>
      <c r="N191" s="70">
        <v>34</v>
      </c>
      <c r="O191" s="68" t="s">
        <v>277</v>
      </c>
      <c r="P191">
        <f t="shared" si="6"/>
        <v>376</v>
      </c>
      <c r="Q191">
        <f t="shared" si="7"/>
        <v>62.666666666666671</v>
      </c>
      <c r="R191">
        <f t="shared" si="8"/>
        <v>12.533333333333335</v>
      </c>
    </row>
    <row r="192" spans="1:18" x14ac:dyDescent="0.25">
      <c r="A192" s="68">
        <v>11</v>
      </c>
      <c r="B192" s="69" t="s">
        <v>196</v>
      </c>
      <c r="C192" s="70">
        <v>28</v>
      </c>
      <c r="D192" s="70">
        <v>31</v>
      </c>
      <c r="E192" s="70">
        <v>18</v>
      </c>
      <c r="F192" s="70">
        <v>29</v>
      </c>
      <c r="G192" s="70">
        <v>26</v>
      </c>
      <c r="H192" s="70">
        <v>24</v>
      </c>
      <c r="I192" s="70">
        <v>18</v>
      </c>
      <c r="J192" s="70">
        <v>26</v>
      </c>
      <c r="K192" s="70">
        <v>31</v>
      </c>
      <c r="L192" s="70">
        <v>23</v>
      </c>
      <c r="M192" s="70">
        <v>30</v>
      </c>
      <c r="N192" s="70">
        <v>31</v>
      </c>
      <c r="O192" s="68" t="s">
        <v>277</v>
      </c>
      <c r="P192">
        <f t="shared" si="6"/>
        <v>315</v>
      </c>
      <c r="Q192">
        <f t="shared" si="7"/>
        <v>52.5</v>
      </c>
      <c r="R192">
        <f t="shared" si="8"/>
        <v>10.5</v>
      </c>
    </row>
    <row r="193" spans="1:18" x14ac:dyDescent="0.25">
      <c r="A193" s="68">
        <v>12</v>
      </c>
      <c r="B193" s="69" t="s">
        <v>197</v>
      </c>
      <c r="C193" s="70">
        <v>21</v>
      </c>
      <c r="D193" s="70">
        <v>20</v>
      </c>
      <c r="E193" s="70">
        <v>21</v>
      </c>
      <c r="F193" s="70">
        <v>23</v>
      </c>
      <c r="G193" s="70">
        <v>22</v>
      </c>
      <c r="H193" s="70">
        <v>20</v>
      </c>
      <c r="I193" s="70">
        <v>16</v>
      </c>
      <c r="J193" s="70">
        <v>30</v>
      </c>
      <c r="K193" s="70">
        <v>14</v>
      </c>
      <c r="L193" s="70">
        <v>19</v>
      </c>
      <c r="M193" s="70">
        <v>30</v>
      </c>
      <c r="N193" s="70">
        <v>40</v>
      </c>
      <c r="O193" s="68" t="s">
        <v>277</v>
      </c>
      <c r="P193">
        <f t="shared" si="6"/>
        <v>276</v>
      </c>
      <c r="Q193">
        <f t="shared" si="7"/>
        <v>46</v>
      </c>
      <c r="R193">
        <f t="shared" si="8"/>
        <v>9.2000000000000011</v>
      </c>
    </row>
    <row r="194" spans="1:18" x14ac:dyDescent="0.25">
      <c r="A194" s="68">
        <v>13</v>
      </c>
      <c r="B194" s="69" t="s">
        <v>198</v>
      </c>
      <c r="C194" s="70">
        <v>19</v>
      </c>
      <c r="D194" s="70">
        <v>31</v>
      </c>
      <c r="E194" s="70">
        <v>14</v>
      </c>
      <c r="F194" s="70">
        <v>12</v>
      </c>
      <c r="G194" s="70">
        <v>19</v>
      </c>
      <c r="H194" s="70">
        <v>18</v>
      </c>
      <c r="I194" s="70">
        <v>15</v>
      </c>
      <c r="J194" s="70">
        <v>25</v>
      </c>
      <c r="K194" s="70">
        <v>25</v>
      </c>
      <c r="L194" s="70">
        <v>22</v>
      </c>
      <c r="M194" s="70">
        <v>22</v>
      </c>
      <c r="N194" s="70">
        <v>27</v>
      </c>
      <c r="O194" s="68" t="s">
        <v>277</v>
      </c>
      <c r="P194">
        <f t="shared" si="6"/>
        <v>249</v>
      </c>
      <c r="Q194">
        <f t="shared" si="7"/>
        <v>41.5</v>
      </c>
      <c r="R194">
        <f t="shared" si="8"/>
        <v>8.3000000000000007</v>
      </c>
    </row>
    <row r="195" spans="1:18" x14ac:dyDescent="0.25">
      <c r="A195" s="68">
        <v>14</v>
      </c>
      <c r="B195" s="69" t="s">
        <v>199</v>
      </c>
      <c r="C195" s="70">
        <v>21</v>
      </c>
      <c r="D195" s="70">
        <v>24</v>
      </c>
      <c r="E195" s="70">
        <v>14</v>
      </c>
      <c r="F195" s="70">
        <v>24</v>
      </c>
      <c r="G195" s="70">
        <v>34</v>
      </c>
      <c r="H195" s="70">
        <v>31</v>
      </c>
      <c r="I195" s="70">
        <v>30</v>
      </c>
      <c r="J195" s="70">
        <v>37</v>
      </c>
      <c r="K195" s="70">
        <v>33</v>
      </c>
      <c r="L195" s="70">
        <v>24</v>
      </c>
      <c r="M195" s="70">
        <v>43</v>
      </c>
      <c r="N195" s="70">
        <v>44</v>
      </c>
      <c r="O195" s="68" t="s">
        <v>277</v>
      </c>
      <c r="P195">
        <f t="shared" ref="P195:P228" si="9">SUM(C195:N195)</f>
        <v>359</v>
      </c>
      <c r="Q195">
        <f t="shared" ref="Q195:Q230" si="10">(P195/600)*100</f>
        <v>59.833333333333336</v>
      </c>
      <c r="R195">
        <f t="shared" ref="R195:R230" si="11">Q195*0.2</f>
        <v>11.966666666666669</v>
      </c>
    </row>
    <row r="196" spans="1:18" x14ac:dyDescent="0.25">
      <c r="A196" s="68">
        <v>15</v>
      </c>
      <c r="B196" s="69" t="s">
        <v>200</v>
      </c>
      <c r="C196" s="70">
        <v>26</v>
      </c>
      <c r="D196" s="70">
        <v>44</v>
      </c>
      <c r="E196" s="70">
        <v>27</v>
      </c>
      <c r="F196" s="70">
        <v>25</v>
      </c>
      <c r="G196" s="70">
        <v>34</v>
      </c>
      <c r="H196" s="70">
        <v>23</v>
      </c>
      <c r="I196" s="70">
        <v>29</v>
      </c>
      <c r="J196" s="70">
        <v>36</v>
      </c>
      <c r="K196" s="70">
        <v>37</v>
      </c>
      <c r="L196" s="70">
        <v>28</v>
      </c>
      <c r="M196" s="70">
        <v>36</v>
      </c>
      <c r="N196" s="70">
        <v>36</v>
      </c>
      <c r="O196" s="68" t="s">
        <v>277</v>
      </c>
      <c r="P196">
        <f t="shared" si="9"/>
        <v>381</v>
      </c>
      <c r="Q196">
        <f t="shared" si="10"/>
        <v>63.5</v>
      </c>
      <c r="R196">
        <f t="shared" si="11"/>
        <v>12.700000000000001</v>
      </c>
    </row>
    <row r="197" spans="1:18" x14ac:dyDescent="0.25">
      <c r="A197" s="68">
        <v>16</v>
      </c>
      <c r="B197" s="69" t="s">
        <v>201</v>
      </c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68" t="s">
        <v>277</v>
      </c>
      <c r="P197">
        <f t="shared" si="9"/>
        <v>0</v>
      </c>
      <c r="Q197">
        <f t="shared" si="10"/>
        <v>0</v>
      </c>
      <c r="R197">
        <f t="shared" si="11"/>
        <v>0</v>
      </c>
    </row>
    <row r="198" spans="1:18" x14ac:dyDescent="0.25">
      <c r="A198" s="68">
        <v>17</v>
      </c>
      <c r="B198" s="69" t="s">
        <v>202</v>
      </c>
      <c r="C198" s="70">
        <v>29</v>
      </c>
      <c r="D198" s="70">
        <v>34</v>
      </c>
      <c r="E198" s="70">
        <v>26</v>
      </c>
      <c r="F198" s="70">
        <v>35</v>
      </c>
      <c r="G198" s="70">
        <v>39</v>
      </c>
      <c r="H198" s="70">
        <v>26</v>
      </c>
      <c r="I198" s="70">
        <v>28</v>
      </c>
      <c r="J198" s="70">
        <v>41</v>
      </c>
      <c r="K198" s="70">
        <v>37</v>
      </c>
      <c r="L198" s="70">
        <v>32</v>
      </c>
      <c r="M198" s="70">
        <v>32</v>
      </c>
      <c r="N198" s="70">
        <v>42</v>
      </c>
      <c r="O198" s="68" t="s">
        <v>277</v>
      </c>
      <c r="P198">
        <f t="shared" si="9"/>
        <v>401</v>
      </c>
      <c r="Q198">
        <f t="shared" si="10"/>
        <v>66.833333333333329</v>
      </c>
      <c r="R198">
        <f t="shared" si="11"/>
        <v>13.366666666666667</v>
      </c>
    </row>
    <row r="199" spans="1:18" x14ac:dyDescent="0.25">
      <c r="A199" s="68">
        <v>18</v>
      </c>
      <c r="B199" s="69" t="s">
        <v>203</v>
      </c>
      <c r="C199" s="70">
        <v>36</v>
      </c>
      <c r="D199" s="70">
        <v>32</v>
      </c>
      <c r="E199" s="70">
        <v>28</v>
      </c>
      <c r="F199" s="70">
        <v>35</v>
      </c>
      <c r="G199" s="70">
        <v>38</v>
      </c>
      <c r="H199" s="70">
        <v>32</v>
      </c>
      <c r="I199" s="70">
        <v>25</v>
      </c>
      <c r="J199" s="70">
        <v>39</v>
      </c>
      <c r="K199" s="70">
        <v>36</v>
      </c>
      <c r="L199" s="70">
        <v>32</v>
      </c>
      <c r="M199" s="70">
        <v>31</v>
      </c>
      <c r="N199" s="70">
        <v>43</v>
      </c>
      <c r="O199" s="68" t="s">
        <v>277</v>
      </c>
      <c r="P199">
        <f t="shared" si="9"/>
        <v>407</v>
      </c>
      <c r="Q199">
        <f t="shared" si="10"/>
        <v>67.833333333333329</v>
      </c>
      <c r="R199">
        <f t="shared" si="11"/>
        <v>13.566666666666666</v>
      </c>
    </row>
    <row r="200" spans="1:18" x14ac:dyDescent="0.25">
      <c r="A200" s="68">
        <v>19</v>
      </c>
      <c r="B200" s="69" t="s">
        <v>204</v>
      </c>
      <c r="C200" s="70">
        <v>32</v>
      </c>
      <c r="D200" s="70">
        <v>30</v>
      </c>
      <c r="E200" s="70">
        <v>33</v>
      </c>
      <c r="F200" s="70">
        <v>29</v>
      </c>
      <c r="G200" s="70">
        <v>33</v>
      </c>
      <c r="H200" s="70">
        <v>23</v>
      </c>
      <c r="I200" s="70">
        <v>22</v>
      </c>
      <c r="J200" s="70">
        <v>34</v>
      </c>
      <c r="K200" s="70">
        <v>39</v>
      </c>
      <c r="L200" s="70">
        <v>28</v>
      </c>
      <c r="M200" s="70">
        <v>32</v>
      </c>
      <c r="N200" s="70">
        <v>39</v>
      </c>
      <c r="O200" s="68" t="s">
        <v>277</v>
      </c>
      <c r="P200">
        <f t="shared" si="9"/>
        <v>374</v>
      </c>
      <c r="Q200">
        <f t="shared" si="10"/>
        <v>62.333333333333329</v>
      </c>
      <c r="R200">
        <f t="shared" si="11"/>
        <v>12.466666666666667</v>
      </c>
    </row>
    <row r="201" spans="1:18" x14ac:dyDescent="0.25">
      <c r="A201" s="68">
        <v>20</v>
      </c>
      <c r="B201" s="69" t="s">
        <v>205</v>
      </c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68" t="s">
        <v>277</v>
      </c>
      <c r="P201">
        <f t="shared" si="9"/>
        <v>0</v>
      </c>
      <c r="Q201">
        <f t="shared" si="10"/>
        <v>0</v>
      </c>
      <c r="R201">
        <f t="shared" si="11"/>
        <v>0</v>
      </c>
    </row>
    <row r="202" spans="1:18" x14ac:dyDescent="0.25">
      <c r="A202" s="68">
        <v>21</v>
      </c>
      <c r="B202" s="69" t="s">
        <v>206</v>
      </c>
      <c r="C202" s="70">
        <v>41</v>
      </c>
      <c r="D202" s="70">
        <v>41</v>
      </c>
      <c r="E202" s="70">
        <v>39</v>
      </c>
      <c r="F202" s="70">
        <v>46</v>
      </c>
      <c r="G202" s="70">
        <v>46</v>
      </c>
      <c r="H202" s="70">
        <v>42</v>
      </c>
      <c r="I202" s="70">
        <v>42</v>
      </c>
      <c r="J202" s="70">
        <v>44</v>
      </c>
      <c r="K202" s="70">
        <v>42</v>
      </c>
      <c r="L202" s="70">
        <v>38</v>
      </c>
      <c r="M202" s="70">
        <v>38</v>
      </c>
      <c r="N202" s="70">
        <v>39</v>
      </c>
      <c r="O202" s="68" t="s">
        <v>277</v>
      </c>
      <c r="P202">
        <f t="shared" si="9"/>
        <v>498</v>
      </c>
      <c r="Q202">
        <f t="shared" si="10"/>
        <v>83</v>
      </c>
      <c r="R202">
        <f t="shared" si="11"/>
        <v>16.600000000000001</v>
      </c>
    </row>
    <row r="203" spans="1:18" x14ac:dyDescent="0.25">
      <c r="A203" s="68">
        <v>22</v>
      </c>
      <c r="B203" s="69" t="s">
        <v>207</v>
      </c>
      <c r="C203" s="70">
        <v>35</v>
      </c>
      <c r="D203" s="70">
        <v>39</v>
      </c>
      <c r="E203" s="70">
        <v>38</v>
      </c>
      <c r="F203" s="70">
        <v>37</v>
      </c>
      <c r="G203" s="70">
        <v>35</v>
      </c>
      <c r="H203" s="70">
        <v>33</v>
      </c>
      <c r="I203" s="70">
        <v>35</v>
      </c>
      <c r="J203" s="70">
        <v>40</v>
      </c>
      <c r="K203" s="70">
        <v>40</v>
      </c>
      <c r="L203" s="70">
        <v>33</v>
      </c>
      <c r="M203" s="70">
        <v>37</v>
      </c>
      <c r="N203" s="70">
        <v>40</v>
      </c>
      <c r="O203" s="68" t="s">
        <v>277</v>
      </c>
      <c r="P203">
        <f t="shared" si="9"/>
        <v>442</v>
      </c>
      <c r="Q203">
        <f t="shared" si="10"/>
        <v>73.666666666666671</v>
      </c>
      <c r="R203">
        <f t="shared" si="11"/>
        <v>14.733333333333334</v>
      </c>
    </row>
    <row r="204" spans="1:18" x14ac:dyDescent="0.25">
      <c r="A204" s="68">
        <v>23</v>
      </c>
      <c r="B204" s="69" t="s">
        <v>208</v>
      </c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68" t="s">
        <v>277</v>
      </c>
      <c r="P204">
        <f t="shared" si="9"/>
        <v>0</v>
      </c>
      <c r="Q204">
        <f t="shared" si="10"/>
        <v>0</v>
      </c>
      <c r="R204">
        <f t="shared" si="11"/>
        <v>0</v>
      </c>
    </row>
    <row r="205" spans="1:18" x14ac:dyDescent="0.25">
      <c r="A205" s="68">
        <v>24</v>
      </c>
      <c r="B205" s="69" t="s">
        <v>209</v>
      </c>
      <c r="C205" s="70">
        <v>22</v>
      </c>
      <c r="D205" s="70">
        <v>36</v>
      </c>
      <c r="E205" s="70">
        <v>21</v>
      </c>
      <c r="F205" s="70">
        <v>31</v>
      </c>
      <c r="G205" s="70">
        <v>41</v>
      </c>
      <c r="H205" s="70">
        <v>30</v>
      </c>
      <c r="I205" s="70">
        <v>23</v>
      </c>
      <c r="J205" s="70">
        <v>24</v>
      </c>
      <c r="K205" s="70">
        <v>29</v>
      </c>
      <c r="L205" s="70">
        <v>30</v>
      </c>
      <c r="M205" s="70">
        <v>27</v>
      </c>
      <c r="N205" s="70">
        <v>33</v>
      </c>
      <c r="O205" s="68" t="s">
        <v>277</v>
      </c>
      <c r="P205">
        <f t="shared" si="9"/>
        <v>347</v>
      </c>
      <c r="Q205">
        <f t="shared" si="10"/>
        <v>57.833333333333336</v>
      </c>
      <c r="R205">
        <f t="shared" si="11"/>
        <v>11.566666666666668</v>
      </c>
    </row>
    <row r="206" spans="1:18" x14ac:dyDescent="0.25">
      <c r="A206" s="68">
        <v>25</v>
      </c>
      <c r="B206" s="69" t="s">
        <v>210</v>
      </c>
      <c r="C206" s="70">
        <v>35</v>
      </c>
      <c r="D206" s="70">
        <v>36</v>
      </c>
      <c r="E206" s="70">
        <v>29</v>
      </c>
      <c r="F206" s="70">
        <v>36</v>
      </c>
      <c r="G206" s="70">
        <v>29</v>
      </c>
      <c r="H206" s="70">
        <v>30</v>
      </c>
      <c r="I206" s="70">
        <v>17</v>
      </c>
      <c r="J206" s="70">
        <v>34</v>
      </c>
      <c r="K206" s="70">
        <v>36</v>
      </c>
      <c r="L206" s="70">
        <v>33</v>
      </c>
      <c r="M206" s="70">
        <v>26</v>
      </c>
      <c r="N206" s="70">
        <v>33</v>
      </c>
      <c r="O206" s="68" t="s">
        <v>277</v>
      </c>
      <c r="P206">
        <f t="shared" si="9"/>
        <v>374</v>
      </c>
      <c r="Q206">
        <f t="shared" si="10"/>
        <v>62.333333333333329</v>
      </c>
      <c r="R206">
        <f t="shared" si="11"/>
        <v>12.466666666666667</v>
      </c>
    </row>
    <row r="207" spans="1:18" x14ac:dyDescent="0.25">
      <c r="A207" s="68">
        <v>26</v>
      </c>
      <c r="B207" s="69" t="s">
        <v>211</v>
      </c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68" t="s">
        <v>277</v>
      </c>
      <c r="P207">
        <f t="shared" si="9"/>
        <v>0</v>
      </c>
      <c r="Q207">
        <f t="shared" si="10"/>
        <v>0</v>
      </c>
      <c r="R207">
        <f t="shared" si="11"/>
        <v>0</v>
      </c>
    </row>
    <row r="208" spans="1:18" x14ac:dyDescent="0.25">
      <c r="A208" s="68">
        <v>27</v>
      </c>
      <c r="B208" s="69" t="s">
        <v>212</v>
      </c>
      <c r="C208" s="70">
        <v>24</v>
      </c>
      <c r="D208" s="70">
        <v>34</v>
      </c>
      <c r="E208" s="70">
        <v>20</v>
      </c>
      <c r="F208" s="70">
        <v>21</v>
      </c>
      <c r="G208" s="70">
        <v>32</v>
      </c>
      <c r="H208" s="70">
        <v>23</v>
      </c>
      <c r="I208" s="70">
        <v>20</v>
      </c>
      <c r="J208" s="70">
        <v>24</v>
      </c>
      <c r="K208" s="70">
        <v>24</v>
      </c>
      <c r="L208" s="70">
        <v>23</v>
      </c>
      <c r="M208" s="70">
        <v>18</v>
      </c>
      <c r="N208" s="70">
        <v>32</v>
      </c>
      <c r="O208" s="68" t="s">
        <v>277</v>
      </c>
      <c r="P208">
        <f t="shared" si="9"/>
        <v>295</v>
      </c>
      <c r="Q208">
        <f t="shared" si="10"/>
        <v>49.166666666666664</v>
      </c>
      <c r="R208">
        <f t="shared" si="11"/>
        <v>9.8333333333333339</v>
      </c>
    </row>
    <row r="209" spans="1:18" x14ac:dyDescent="0.25">
      <c r="A209" s="68">
        <v>28</v>
      </c>
      <c r="B209" s="69" t="s">
        <v>213</v>
      </c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68" t="s">
        <v>277</v>
      </c>
      <c r="P209">
        <f t="shared" si="9"/>
        <v>0</v>
      </c>
      <c r="Q209">
        <f t="shared" si="10"/>
        <v>0</v>
      </c>
      <c r="R209">
        <f t="shared" si="11"/>
        <v>0</v>
      </c>
    </row>
    <row r="210" spans="1:18" x14ac:dyDescent="0.25">
      <c r="A210" s="68">
        <v>29</v>
      </c>
      <c r="B210" s="69" t="s">
        <v>214</v>
      </c>
      <c r="C210" s="70">
        <v>25</v>
      </c>
      <c r="D210" s="70">
        <v>29</v>
      </c>
      <c r="E210" s="70">
        <v>24</v>
      </c>
      <c r="F210" s="70">
        <v>21</v>
      </c>
      <c r="G210" s="70">
        <v>28</v>
      </c>
      <c r="H210" s="70">
        <v>22</v>
      </c>
      <c r="I210" s="70">
        <v>14</v>
      </c>
      <c r="J210" s="70">
        <v>20</v>
      </c>
      <c r="K210" s="70">
        <v>16</v>
      </c>
      <c r="L210" s="70">
        <v>22</v>
      </c>
      <c r="M210" s="70">
        <v>13</v>
      </c>
      <c r="N210" s="70">
        <v>30</v>
      </c>
      <c r="O210" s="68" t="s">
        <v>277</v>
      </c>
      <c r="P210">
        <f t="shared" si="9"/>
        <v>264</v>
      </c>
      <c r="Q210">
        <f t="shared" si="10"/>
        <v>44</v>
      </c>
      <c r="R210">
        <f t="shared" si="11"/>
        <v>8.8000000000000007</v>
      </c>
    </row>
    <row r="211" spans="1:18" x14ac:dyDescent="0.25">
      <c r="A211" s="68">
        <v>30</v>
      </c>
      <c r="B211" s="69" t="s">
        <v>215</v>
      </c>
      <c r="C211" s="70">
        <v>39</v>
      </c>
      <c r="D211" s="70">
        <v>41</v>
      </c>
      <c r="E211" s="70">
        <v>40</v>
      </c>
      <c r="F211" s="70">
        <v>42</v>
      </c>
      <c r="G211" s="70">
        <v>45</v>
      </c>
      <c r="H211" s="70">
        <v>39</v>
      </c>
      <c r="I211" s="70">
        <v>42</v>
      </c>
      <c r="J211" s="70">
        <v>42</v>
      </c>
      <c r="K211" s="70">
        <v>44</v>
      </c>
      <c r="L211" s="70">
        <v>38</v>
      </c>
      <c r="M211" s="70">
        <v>35</v>
      </c>
      <c r="N211" s="70">
        <v>44</v>
      </c>
      <c r="O211" s="68" t="s">
        <v>277</v>
      </c>
      <c r="P211">
        <f t="shared" si="9"/>
        <v>491</v>
      </c>
      <c r="Q211">
        <f t="shared" si="10"/>
        <v>81.833333333333343</v>
      </c>
      <c r="R211">
        <f t="shared" si="11"/>
        <v>16.366666666666671</v>
      </c>
    </row>
    <row r="212" spans="1:18" x14ac:dyDescent="0.25">
      <c r="A212" s="68">
        <v>31</v>
      </c>
      <c r="B212" s="69" t="s">
        <v>216</v>
      </c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68" t="s">
        <v>277</v>
      </c>
      <c r="P212">
        <f t="shared" si="9"/>
        <v>0</v>
      </c>
      <c r="Q212">
        <f t="shared" si="10"/>
        <v>0</v>
      </c>
      <c r="R212">
        <f t="shared" si="11"/>
        <v>0</v>
      </c>
    </row>
    <row r="213" spans="1:18" x14ac:dyDescent="0.25">
      <c r="A213" s="68">
        <v>32</v>
      </c>
      <c r="B213" s="69" t="s">
        <v>217</v>
      </c>
      <c r="C213" s="70">
        <v>16</v>
      </c>
      <c r="D213" s="70">
        <v>17</v>
      </c>
      <c r="E213" s="70">
        <v>14</v>
      </c>
      <c r="F213" s="70">
        <v>13</v>
      </c>
      <c r="G213" s="70">
        <v>19</v>
      </c>
      <c r="H213" s="70">
        <v>16</v>
      </c>
      <c r="I213" s="70">
        <v>18</v>
      </c>
      <c r="J213" s="70">
        <v>23</v>
      </c>
      <c r="K213" s="70">
        <v>24</v>
      </c>
      <c r="L213" s="70">
        <v>21</v>
      </c>
      <c r="M213" s="70">
        <v>17</v>
      </c>
      <c r="N213" s="70">
        <v>28</v>
      </c>
      <c r="O213" s="68" t="s">
        <v>277</v>
      </c>
      <c r="P213">
        <f t="shared" si="9"/>
        <v>226</v>
      </c>
      <c r="Q213">
        <f t="shared" si="10"/>
        <v>37.666666666666664</v>
      </c>
      <c r="R213">
        <f t="shared" si="11"/>
        <v>7.5333333333333332</v>
      </c>
    </row>
    <row r="214" spans="1:18" x14ac:dyDescent="0.25">
      <c r="A214" s="68">
        <v>33</v>
      </c>
      <c r="B214" s="69" t="s">
        <v>218</v>
      </c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68" t="s">
        <v>277</v>
      </c>
      <c r="P214">
        <f t="shared" si="9"/>
        <v>0</v>
      </c>
      <c r="Q214">
        <f t="shared" si="10"/>
        <v>0</v>
      </c>
      <c r="R214">
        <f t="shared" si="11"/>
        <v>0</v>
      </c>
    </row>
    <row r="215" spans="1:18" x14ac:dyDescent="0.25">
      <c r="A215" s="68">
        <v>34</v>
      </c>
      <c r="B215" s="69" t="s">
        <v>219</v>
      </c>
      <c r="C215" s="70">
        <v>40</v>
      </c>
      <c r="D215" s="70">
        <v>37</v>
      </c>
      <c r="E215" s="70">
        <v>34</v>
      </c>
      <c r="F215" s="70">
        <v>41</v>
      </c>
      <c r="G215" s="70">
        <v>29</v>
      </c>
      <c r="H215" s="70">
        <v>36</v>
      </c>
      <c r="I215" s="70">
        <v>23</v>
      </c>
      <c r="J215" s="70">
        <v>35</v>
      </c>
      <c r="K215" s="70">
        <v>31</v>
      </c>
      <c r="L215" s="70">
        <v>29</v>
      </c>
      <c r="M215" s="70">
        <v>32</v>
      </c>
      <c r="N215" s="70">
        <v>39</v>
      </c>
      <c r="O215" s="68" t="s">
        <v>277</v>
      </c>
      <c r="P215">
        <f t="shared" si="9"/>
        <v>406</v>
      </c>
      <c r="Q215">
        <f t="shared" si="10"/>
        <v>67.666666666666657</v>
      </c>
      <c r="R215">
        <f t="shared" si="11"/>
        <v>13.533333333333331</v>
      </c>
    </row>
    <row r="216" spans="1:18" x14ac:dyDescent="0.25">
      <c r="A216" s="68">
        <v>35</v>
      </c>
      <c r="B216" s="69" t="s">
        <v>220</v>
      </c>
      <c r="C216" s="70">
        <v>35</v>
      </c>
      <c r="D216" s="70">
        <v>35</v>
      </c>
      <c r="E216" s="70">
        <v>39</v>
      </c>
      <c r="F216" s="70">
        <v>40</v>
      </c>
      <c r="G216" s="70">
        <v>41</v>
      </c>
      <c r="H216" s="70">
        <v>38</v>
      </c>
      <c r="I216" s="70">
        <v>28</v>
      </c>
      <c r="J216" s="70">
        <v>34</v>
      </c>
      <c r="K216" s="70">
        <v>42</v>
      </c>
      <c r="L216" s="70">
        <v>32</v>
      </c>
      <c r="M216" s="70">
        <v>36</v>
      </c>
      <c r="N216" s="70">
        <v>33</v>
      </c>
      <c r="O216" s="68" t="s">
        <v>277</v>
      </c>
      <c r="P216">
        <f t="shared" si="9"/>
        <v>433</v>
      </c>
      <c r="Q216">
        <f t="shared" si="10"/>
        <v>72.166666666666671</v>
      </c>
      <c r="R216">
        <f t="shared" si="11"/>
        <v>14.433333333333335</v>
      </c>
    </row>
    <row r="217" spans="1:18" x14ac:dyDescent="0.25">
      <c r="A217" s="68">
        <v>36</v>
      </c>
      <c r="B217" s="69" t="s">
        <v>221</v>
      </c>
      <c r="C217" s="70">
        <v>45</v>
      </c>
      <c r="D217" s="70">
        <v>44</v>
      </c>
      <c r="E217" s="70">
        <v>43</v>
      </c>
      <c r="F217" s="70">
        <v>46</v>
      </c>
      <c r="G217" s="70">
        <v>46</v>
      </c>
      <c r="H217" s="70">
        <v>34</v>
      </c>
      <c r="I217" s="70">
        <v>35</v>
      </c>
      <c r="J217" s="70">
        <v>43</v>
      </c>
      <c r="K217" s="70">
        <v>35</v>
      </c>
      <c r="L217" s="70">
        <v>34</v>
      </c>
      <c r="M217" s="70">
        <v>40</v>
      </c>
      <c r="N217" s="70">
        <v>45</v>
      </c>
      <c r="O217" s="68" t="s">
        <v>277</v>
      </c>
      <c r="P217">
        <f t="shared" si="9"/>
        <v>490</v>
      </c>
      <c r="Q217">
        <f t="shared" si="10"/>
        <v>81.666666666666671</v>
      </c>
      <c r="R217">
        <f t="shared" si="11"/>
        <v>16.333333333333336</v>
      </c>
    </row>
    <row r="218" spans="1:18" x14ac:dyDescent="0.25">
      <c r="A218" s="68">
        <v>37</v>
      </c>
      <c r="B218" s="69" t="s">
        <v>222</v>
      </c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68" t="s">
        <v>277</v>
      </c>
      <c r="P218">
        <f t="shared" si="9"/>
        <v>0</v>
      </c>
      <c r="Q218">
        <f t="shared" si="10"/>
        <v>0</v>
      </c>
      <c r="R218">
        <f t="shared" si="11"/>
        <v>0</v>
      </c>
    </row>
    <row r="219" spans="1:18" x14ac:dyDescent="0.25">
      <c r="A219" s="68">
        <v>38</v>
      </c>
      <c r="B219" s="69" t="s">
        <v>223</v>
      </c>
      <c r="C219" s="70">
        <v>21</v>
      </c>
      <c r="D219" s="70">
        <v>27</v>
      </c>
      <c r="E219" s="70">
        <v>19</v>
      </c>
      <c r="F219" s="70">
        <v>23</v>
      </c>
      <c r="G219" s="70">
        <v>30</v>
      </c>
      <c r="H219" s="70">
        <v>28</v>
      </c>
      <c r="I219" s="70">
        <v>24</v>
      </c>
      <c r="J219" s="70">
        <v>28</v>
      </c>
      <c r="K219" s="70">
        <v>22</v>
      </c>
      <c r="L219" s="70">
        <v>23</v>
      </c>
      <c r="M219" s="70">
        <v>18</v>
      </c>
      <c r="N219" s="70">
        <v>29</v>
      </c>
      <c r="O219" s="68" t="s">
        <v>277</v>
      </c>
      <c r="P219">
        <f t="shared" si="9"/>
        <v>292</v>
      </c>
      <c r="Q219">
        <f t="shared" si="10"/>
        <v>48.666666666666671</v>
      </c>
      <c r="R219">
        <f t="shared" si="11"/>
        <v>9.7333333333333343</v>
      </c>
    </row>
    <row r="220" spans="1:18" x14ac:dyDescent="0.25">
      <c r="A220" s="68">
        <v>39</v>
      </c>
      <c r="B220" s="69" t="s">
        <v>224</v>
      </c>
      <c r="C220" s="70">
        <v>31</v>
      </c>
      <c r="D220" s="70">
        <v>24</v>
      </c>
      <c r="E220" s="70">
        <v>27</v>
      </c>
      <c r="F220" s="70">
        <v>20</v>
      </c>
      <c r="G220" s="70">
        <v>25</v>
      </c>
      <c r="H220" s="70">
        <v>22</v>
      </c>
      <c r="I220" s="70">
        <v>18</v>
      </c>
      <c r="J220" s="70">
        <v>24</v>
      </c>
      <c r="K220" s="70">
        <v>29</v>
      </c>
      <c r="L220" s="70">
        <v>22</v>
      </c>
      <c r="M220" s="70">
        <v>20</v>
      </c>
      <c r="N220" s="70">
        <v>28</v>
      </c>
      <c r="O220" s="68" t="s">
        <v>277</v>
      </c>
      <c r="P220">
        <f t="shared" si="9"/>
        <v>290</v>
      </c>
      <c r="Q220">
        <f t="shared" si="10"/>
        <v>48.333333333333336</v>
      </c>
      <c r="R220">
        <f t="shared" si="11"/>
        <v>9.6666666666666679</v>
      </c>
    </row>
    <row r="221" spans="1:18" x14ac:dyDescent="0.25">
      <c r="A221" s="68">
        <v>40</v>
      </c>
      <c r="B221" s="69" t="s">
        <v>225</v>
      </c>
      <c r="C221" s="70">
        <v>41</v>
      </c>
      <c r="D221" s="70">
        <v>48</v>
      </c>
      <c r="E221" s="70">
        <v>44</v>
      </c>
      <c r="F221" s="70">
        <v>46</v>
      </c>
      <c r="G221" s="70">
        <v>47</v>
      </c>
      <c r="H221" s="70">
        <v>45</v>
      </c>
      <c r="I221" s="70">
        <v>41</v>
      </c>
      <c r="J221" s="70">
        <v>45</v>
      </c>
      <c r="K221" s="70">
        <v>44</v>
      </c>
      <c r="L221" s="70">
        <v>41</v>
      </c>
      <c r="M221" s="70">
        <v>40</v>
      </c>
      <c r="N221" s="70">
        <v>44</v>
      </c>
      <c r="O221" s="68" t="s">
        <v>277</v>
      </c>
      <c r="P221">
        <f t="shared" si="9"/>
        <v>526</v>
      </c>
      <c r="Q221">
        <f t="shared" si="10"/>
        <v>87.666666666666671</v>
      </c>
      <c r="R221">
        <f t="shared" si="11"/>
        <v>17.533333333333335</v>
      </c>
    </row>
    <row r="222" spans="1:18" x14ac:dyDescent="0.25">
      <c r="A222" s="68">
        <v>41</v>
      </c>
      <c r="B222" s="69" t="s">
        <v>226</v>
      </c>
      <c r="C222" s="70">
        <v>38</v>
      </c>
      <c r="D222" s="70">
        <v>41</v>
      </c>
      <c r="E222" s="70">
        <v>44</v>
      </c>
      <c r="F222" s="70">
        <v>46</v>
      </c>
      <c r="G222" s="70">
        <v>44</v>
      </c>
      <c r="H222" s="70">
        <v>36</v>
      </c>
      <c r="I222" s="70">
        <v>33</v>
      </c>
      <c r="J222" s="70">
        <v>40</v>
      </c>
      <c r="K222" s="70">
        <v>43</v>
      </c>
      <c r="L222" s="70">
        <v>36</v>
      </c>
      <c r="M222" s="70">
        <v>42</v>
      </c>
      <c r="N222" s="70">
        <v>40</v>
      </c>
      <c r="O222" s="68" t="s">
        <v>277</v>
      </c>
      <c r="P222">
        <f t="shared" si="9"/>
        <v>483</v>
      </c>
      <c r="Q222">
        <f t="shared" si="10"/>
        <v>80.5</v>
      </c>
      <c r="R222">
        <f t="shared" si="11"/>
        <v>16.100000000000001</v>
      </c>
    </row>
    <row r="223" spans="1:18" x14ac:dyDescent="0.25">
      <c r="A223" s="68">
        <v>42</v>
      </c>
      <c r="B223" s="69" t="s">
        <v>227</v>
      </c>
      <c r="C223" s="70">
        <v>28</v>
      </c>
      <c r="D223" s="70">
        <v>32</v>
      </c>
      <c r="E223" s="70">
        <v>25</v>
      </c>
      <c r="F223" s="70">
        <v>30</v>
      </c>
      <c r="G223" s="70">
        <v>25</v>
      </c>
      <c r="H223" s="70">
        <v>18</v>
      </c>
      <c r="I223" s="70">
        <v>25</v>
      </c>
      <c r="J223" s="70">
        <v>27</v>
      </c>
      <c r="K223" s="70">
        <v>28</v>
      </c>
      <c r="L223" s="70">
        <v>25</v>
      </c>
      <c r="M223" s="70">
        <v>32</v>
      </c>
      <c r="N223" s="70">
        <v>28</v>
      </c>
      <c r="O223" s="68" t="s">
        <v>277</v>
      </c>
      <c r="P223">
        <f t="shared" si="9"/>
        <v>323</v>
      </c>
      <c r="Q223">
        <f t="shared" si="10"/>
        <v>53.833333333333336</v>
      </c>
      <c r="R223">
        <f t="shared" si="11"/>
        <v>10.766666666666667</v>
      </c>
    </row>
    <row r="224" spans="1:18" x14ac:dyDescent="0.25">
      <c r="A224" s="68">
        <v>43</v>
      </c>
      <c r="B224" s="69" t="s">
        <v>228</v>
      </c>
      <c r="C224" s="70">
        <v>20</v>
      </c>
      <c r="D224" s="70">
        <v>41</v>
      </c>
      <c r="E224" s="70">
        <v>28</v>
      </c>
      <c r="F224" s="70">
        <v>33</v>
      </c>
      <c r="G224" s="70">
        <v>35</v>
      </c>
      <c r="H224" s="70">
        <v>24</v>
      </c>
      <c r="I224" s="70">
        <v>18</v>
      </c>
      <c r="J224" s="70">
        <v>31</v>
      </c>
      <c r="K224" s="70">
        <v>33</v>
      </c>
      <c r="L224" s="70">
        <v>33</v>
      </c>
      <c r="M224" s="70">
        <v>22</v>
      </c>
      <c r="N224" s="70">
        <v>30</v>
      </c>
      <c r="O224" s="68" t="s">
        <v>277</v>
      </c>
      <c r="P224">
        <f t="shared" si="9"/>
        <v>348</v>
      </c>
      <c r="Q224">
        <f t="shared" si="10"/>
        <v>57.999999999999993</v>
      </c>
      <c r="R224">
        <f t="shared" si="11"/>
        <v>11.6</v>
      </c>
    </row>
    <row r="225" spans="1:18" x14ac:dyDescent="0.25">
      <c r="A225" s="68">
        <v>44</v>
      </c>
      <c r="B225" s="69" t="s">
        <v>229</v>
      </c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68" t="s">
        <v>277</v>
      </c>
      <c r="P225">
        <f t="shared" si="9"/>
        <v>0</v>
      </c>
      <c r="Q225">
        <f t="shared" si="10"/>
        <v>0</v>
      </c>
      <c r="R225">
        <f t="shared" si="11"/>
        <v>0</v>
      </c>
    </row>
    <row r="226" spans="1:18" x14ac:dyDescent="0.25">
      <c r="A226" s="68"/>
      <c r="B226" s="69" t="s">
        <v>230</v>
      </c>
      <c r="C226" s="70">
        <v>19</v>
      </c>
      <c r="D226" s="70">
        <v>14</v>
      </c>
      <c r="E226" s="70"/>
      <c r="F226" s="70"/>
      <c r="G226" s="70">
        <v>22</v>
      </c>
      <c r="H226" s="70">
        <v>22</v>
      </c>
      <c r="I226" s="70"/>
      <c r="J226" s="70"/>
      <c r="K226" s="70"/>
      <c r="L226" s="70"/>
      <c r="M226" s="70"/>
      <c r="N226" s="70"/>
      <c r="O226" s="68" t="s">
        <v>278</v>
      </c>
      <c r="P226">
        <f t="shared" si="9"/>
        <v>77</v>
      </c>
      <c r="Q226">
        <f t="shared" si="10"/>
        <v>12.833333333333332</v>
      </c>
      <c r="R226">
        <f t="shared" si="11"/>
        <v>2.5666666666666664</v>
      </c>
    </row>
    <row r="227" spans="1:18" x14ac:dyDescent="0.25">
      <c r="A227" s="68"/>
      <c r="B227" s="69" t="s">
        <v>231</v>
      </c>
      <c r="C227" s="70">
        <v>33</v>
      </c>
      <c r="D227" s="70">
        <v>32</v>
      </c>
      <c r="E227" s="70">
        <v>23</v>
      </c>
      <c r="F227" s="70">
        <v>26</v>
      </c>
      <c r="G227" s="70">
        <v>31</v>
      </c>
      <c r="H227" s="70">
        <v>24</v>
      </c>
      <c r="I227" s="70"/>
      <c r="J227" s="70"/>
      <c r="K227" s="70"/>
      <c r="L227" s="70"/>
      <c r="M227" s="70"/>
      <c r="N227" s="70"/>
      <c r="O227" s="68" t="s">
        <v>278</v>
      </c>
      <c r="P227">
        <f t="shared" si="9"/>
        <v>169</v>
      </c>
      <c r="Q227">
        <f t="shared" si="10"/>
        <v>28.166666666666668</v>
      </c>
      <c r="R227">
        <f t="shared" si="11"/>
        <v>5.6333333333333337</v>
      </c>
    </row>
    <row r="228" spans="1:18" x14ac:dyDescent="0.25">
      <c r="A228" s="68"/>
      <c r="B228" s="69" t="s">
        <v>232</v>
      </c>
      <c r="C228" s="70">
        <v>21</v>
      </c>
      <c r="D228" s="70">
        <v>27</v>
      </c>
      <c r="E228" s="70"/>
      <c r="F228" s="70">
        <v>22</v>
      </c>
      <c r="G228" s="70">
        <v>22</v>
      </c>
      <c r="H228" s="70"/>
      <c r="I228" s="70"/>
      <c r="J228" s="70"/>
      <c r="K228" s="70">
        <v>23</v>
      </c>
      <c r="L228" s="70"/>
      <c r="M228" s="70">
        <v>21</v>
      </c>
      <c r="N228" s="70">
        <v>30</v>
      </c>
      <c r="O228" s="68" t="s">
        <v>279</v>
      </c>
      <c r="P228">
        <f t="shared" si="9"/>
        <v>166</v>
      </c>
      <c r="Q228">
        <f t="shared" si="10"/>
        <v>27.666666666666668</v>
      </c>
      <c r="R228">
        <f t="shared" si="11"/>
        <v>5.5333333333333341</v>
      </c>
    </row>
    <row r="229" spans="1:18" x14ac:dyDescent="0.25">
      <c r="A229" s="68"/>
      <c r="B229" s="69" t="s">
        <v>233</v>
      </c>
      <c r="C229" s="70">
        <v>22</v>
      </c>
      <c r="D229" s="70">
        <v>25</v>
      </c>
      <c r="E229" s="70">
        <v>16</v>
      </c>
      <c r="F229" s="70">
        <v>23</v>
      </c>
      <c r="G229" s="70">
        <v>25</v>
      </c>
      <c r="H229" s="70">
        <v>20</v>
      </c>
      <c r="I229" s="70">
        <v>19</v>
      </c>
      <c r="J229" s="70">
        <v>22</v>
      </c>
      <c r="K229" s="70">
        <v>20</v>
      </c>
      <c r="L229" s="70">
        <v>18</v>
      </c>
      <c r="M229" s="70">
        <v>30</v>
      </c>
      <c r="N229" s="70">
        <v>30</v>
      </c>
      <c r="O229" s="68" t="s">
        <v>280</v>
      </c>
      <c r="P229">
        <f>SUM(C229:N229)</f>
        <v>270</v>
      </c>
      <c r="Q229">
        <f t="shared" si="10"/>
        <v>45</v>
      </c>
      <c r="R229">
        <f t="shared" si="11"/>
        <v>9</v>
      </c>
    </row>
    <row r="230" spans="1:18" x14ac:dyDescent="0.25">
      <c r="A230" s="68"/>
      <c r="B230" s="69" t="s">
        <v>234</v>
      </c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68"/>
      <c r="P230">
        <f>SUM(C230:N230)</f>
        <v>0</v>
      </c>
      <c r="Q230">
        <f t="shared" si="10"/>
        <v>0</v>
      </c>
      <c r="R230">
        <f t="shared" si="11"/>
        <v>0</v>
      </c>
    </row>
    <row r="231" spans="1:18" x14ac:dyDescent="0.25">
      <c r="A231" s="68"/>
      <c r="B231" s="69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68"/>
    </row>
    <row r="232" spans="1:18" x14ac:dyDescent="0.25">
      <c r="A232" s="68"/>
      <c r="B232" s="69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68"/>
    </row>
    <row r="233" spans="1:18" x14ac:dyDescent="0.25">
      <c r="A233" s="68"/>
      <c r="B233" s="69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68"/>
    </row>
    <row r="234" spans="1:18" x14ac:dyDescent="0.25">
      <c r="A234" s="68"/>
      <c r="B234" s="69"/>
      <c r="C234" s="70"/>
      <c r="D234" s="70"/>
      <c r="E234" s="70"/>
      <c r="F234" s="70"/>
      <c r="G234" s="70"/>
      <c r="H234" s="70"/>
      <c r="I234" s="75"/>
      <c r="J234" s="75"/>
      <c r="K234" s="75"/>
      <c r="L234" s="75"/>
      <c r="M234" s="75"/>
      <c r="N234" s="75"/>
      <c r="O234" s="70"/>
    </row>
    <row r="235" spans="1:18" x14ac:dyDescent="0.25">
      <c r="A235" s="68"/>
      <c r="B235" s="69"/>
      <c r="C235" s="70">
        <f t="shared" ref="C235:N235" si="12">COUNT(C2:C232)</f>
        <v>133</v>
      </c>
      <c r="D235" s="70">
        <f t="shared" si="12"/>
        <v>145</v>
      </c>
      <c r="E235" s="70">
        <f t="shared" si="12"/>
        <v>141</v>
      </c>
      <c r="F235" s="70">
        <f t="shared" si="12"/>
        <v>140</v>
      </c>
      <c r="G235" s="70">
        <f t="shared" si="12"/>
        <v>138</v>
      </c>
      <c r="H235" s="70">
        <f t="shared" si="12"/>
        <v>140</v>
      </c>
      <c r="I235" s="70">
        <f t="shared" si="12"/>
        <v>125</v>
      </c>
      <c r="J235" s="70">
        <f t="shared" si="12"/>
        <v>131</v>
      </c>
      <c r="K235" s="70">
        <f t="shared" si="12"/>
        <v>128</v>
      </c>
      <c r="L235" s="70">
        <f t="shared" si="12"/>
        <v>130</v>
      </c>
      <c r="M235" s="70">
        <f t="shared" si="12"/>
        <v>125</v>
      </c>
      <c r="N235" s="70">
        <f t="shared" si="12"/>
        <v>126</v>
      </c>
      <c r="O235" s="70"/>
    </row>
    <row r="236" spans="1:18" x14ac:dyDescent="0.25">
      <c r="A236" s="68"/>
      <c r="B236" s="69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68"/>
    </row>
    <row r="237" spans="1:18" x14ac:dyDescent="0.25">
      <c r="A237" s="68"/>
      <c r="B237" s="69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68"/>
    </row>
    <row r="238" spans="1:18" x14ac:dyDescent="0.25">
      <c r="A238" s="68"/>
      <c r="B238" s="69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68"/>
    </row>
    <row r="239" spans="1:18" x14ac:dyDescent="0.25">
      <c r="A239" s="68"/>
      <c r="B239" s="69"/>
      <c r="C239" s="75">
        <f t="shared" ref="C239:N239" si="13">AVERAGE(C2:C234)/50</f>
        <v>0.55488721804511276</v>
      </c>
      <c r="D239" s="75">
        <f t="shared" si="13"/>
        <v>0.59324137931034482</v>
      </c>
      <c r="E239" s="75">
        <f t="shared" si="13"/>
        <v>0.49716312056737588</v>
      </c>
      <c r="F239" s="75">
        <f t="shared" si="13"/>
        <v>0.55871428571428572</v>
      </c>
      <c r="G239" s="75">
        <f t="shared" si="13"/>
        <v>0.58971014492753626</v>
      </c>
      <c r="H239" s="75">
        <f t="shared" si="13"/>
        <v>0.49514285714285711</v>
      </c>
      <c r="I239" s="75">
        <f t="shared" si="13"/>
        <v>0.47344000000000003</v>
      </c>
      <c r="J239" s="75">
        <f t="shared" si="13"/>
        <v>0.58778625954198471</v>
      </c>
      <c r="K239" s="75">
        <f t="shared" si="13"/>
        <v>0.57781249999999995</v>
      </c>
      <c r="L239" s="75">
        <f t="shared" si="13"/>
        <v>0.53938461538461535</v>
      </c>
      <c r="M239" s="75">
        <f t="shared" si="13"/>
        <v>0.54</v>
      </c>
      <c r="N239" s="75">
        <f t="shared" si="13"/>
        <v>0.66190476190476188</v>
      </c>
      <c r="O239" s="68"/>
    </row>
    <row r="240" spans="1:18" x14ac:dyDescent="0.25">
      <c r="A240" s="68"/>
      <c r="B240" s="69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68"/>
    </row>
    <row r="241" spans="1:15" x14ac:dyDescent="0.25">
      <c r="A241" s="68"/>
      <c r="B241" s="69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68"/>
    </row>
    <row r="242" spans="1:15" x14ac:dyDescent="0.25">
      <c r="A242" s="68"/>
      <c r="B242" s="69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68"/>
    </row>
    <row r="243" spans="1:15" x14ac:dyDescent="0.25">
      <c r="A243" s="68"/>
      <c r="B243" s="69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68"/>
    </row>
    <row r="244" spans="1:15" x14ac:dyDescent="0.25">
      <c r="A244" s="68"/>
      <c r="B244" s="69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68"/>
    </row>
    <row r="245" spans="1:15" x14ac:dyDescent="0.25">
      <c r="A245" s="68"/>
      <c r="B245" s="69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68"/>
    </row>
    <row r="246" spans="1:15" x14ac:dyDescent="0.25">
      <c r="A246" s="68"/>
      <c r="B246" s="69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68"/>
    </row>
    <row r="247" spans="1:15" x14ac:dyDescent="0.25">
      <c r="A247" s="68"/>
      <c r="B247" s="69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68"/>
    </row>
    <row r="248" spans="1:15" x14ac:dyDescent="0.25">
      <c r="A248" s="68"/>
      <c r="B248" s="69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68"/>
    </row>
    <row r="249" spans="1:15" x14ac:dyDescent="0.25">
      <c r="A249" s="68"/>
      <c r="B249" s="69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68"/>
    </row>
    <row r="250" spans="1:15" x14ac:dyDescent="0.25">
      <c r="A250" s="68"/>
      <c r="B250" s="69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68"/>
    </row>
    <row r="251" spans="1:15" x14ac:dyDescent="0.25">
      <c r="A251" s="68"/>
      <c r="B251" s="69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68"/>
    </row>
    <row r="252" spans="1:15" x14ac:dyDescent="0.25">
      <c r="A252" s="68"/>
      <c r="B252" s="69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68"/>
    </row>
    <row r="253" spans="1:15" x14ac:dyDescent="0.25">
      <c r="A253" s="68"/>
      <c r="B253" s="69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68"/>
    </row>
    <row r="254" spans="1:15" x14ac:dyDescent="0.25">
      <c r="A254" s="68"/>
      <c r="B254" s="69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68"/>
    </row>
    <row r="255" spans="1:15" x14ac:dyDescent="0.25">
      <c r="A255" s="68"/>
      <c r="B255" s="69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68"/>
    </row>
    <row r="256" spans="1:15" x14ac:dyDescent="0.25">
      <c r="A256" s="68"/>
      <c r="B256" s="69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68"/>
    </row>
    <row r="257" spans="1:15" x14ac:dyDescent="0.25">
      <c r="A257" s="68"/>
      <c r="B257" s="69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68"/>
    </row>
    <row r="258" spans="1:15" x14ac:dyDescent="0.25">
      <c r="A258" s="68"/>
      <c r="B258" s="69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68"/>
    </row>
    <row r="259" spans="1:15" x14ac:dyDescent="0.25">
      <c r="A259" s="68"/>
      <c r="B259" s="69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68"/>
    </row>
    <row r="260" spans="1:15" x14ac:dyDescent="0.25">
      <c r="A260" s="68"/>
      <c r="B260" s="69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68"/>
    </row>
    <row r="261" spans="1:15" x14ac:dyDescent="0.25">
      <c r="A261" s="68"/>
      <c r="B261" s="69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68"/>
    </row>
    <row r="262" spans="1:15" x14ac:dyDescent="0.25">
      <c r="A262" s="68"/>
      <c r="B262" s="69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68"/>
    </row>
    <row r="263" spans="1:15" x14ac:dyDescent="0.25">
      <c r="A263" s="68"/>
      <c r="B263" s="69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68"/>
    </row>
    <row r="264" spans="1:15" x14ac:dyDescent="0.25">
      <c r="A264" s="68"/>
      <c r="B264" s="69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68"/>
    </row>
    <row r="265" spans="1:15" x14ac:dyDescent="0.25">
      <c r="A265" s="68"/>
      <c r="B265" s="69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68"/>
    </row>
    <row r="266" spans="1:15" x14ac:dyDescent="0.25">
      <c r="A266" s="68"/>
      <c r="B266" s="69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68"/>
    </row>
    <row r="267" spans="1:15" x14ac:dyDescent="0.25">
      <c r="A267" s="68"/>
      <c r="B267" s="69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68"/>
    </row>
    <row r="268" spans="1:15" x14ac:dyDescent="0.25">
      <c r="A268" s="68"/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68"/>
    </row>
    <row r="269" spans="1:15" x14ac:dyDescent="0.25">
      <c r="A269" s="68"/>
      <c r="B269" s="69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68"/>
    </row>
    <row r="270" spans="1:15" x14ac:dyDescent="0.25">
      <c r="A270" s="68"/>
      <c r="B270" s="69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68"/>
    </row>
    <row r="271" spans="1:15" x14ac:dyDescent="0.25">
      <c r="A271" s="68"/>
      <c r="B271" s="69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68"/>
    </row>
    <row r="272" spans="1:15" x14ac:dyDescent="0.25">
      <c r="A272" s="68"/>
      <c r="B272" s="69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68"/>
    </row>
    <row r="273" spans="1:15" x14ac:dyDescent="0.25">
      <c r="A273" s="68"/>
      <c r="B273" s="69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68"/>
    </row>
    <row r="274" spans="1:15" x14ac:dyDescent="0.25">
      <c r="A274" s="68"/>
      <c r="B274" s="69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68"/>
    </row>
    <row r="275" spans="1:15" x14ac:dyDescent="0.25">
      <c r="A275" s="68"/>
      <c r="B275" s="69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68"/>
    </row>
    <row r="276" spans="1:15" x14ac:dyDescent="0.25">
      <c r="A276" s="68"/>
      <c r="B276" s="69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68"/>
    </row>
    <row r="277" spans="1:15" x14ac:dyDescent="0.25">
      <c r="A277" s="68"/>
      <c r="B277" s="69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68"/>
    </row>
    <row r="278" spans="1:15" x14ac:dyDescent="0.25">
      <c r="A278" s="68"/>
      <c r="B278" s="69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68"/>
    </row>
    <row r="279" spans="1:15" x14ac:dyDescent="0.25">
      <c r="A279" s="68"/>
      <c r="B279" s="69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68"/>
    </row>
    <row r="280" spans="1:15" x14ac:dyDescent="0.25">
      <c r="A280" s="68"/>
      <c r="B280" s="69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68"/>
    </row>
    <row r="281" spans="1:15" x14ac:dyDescent="0.25">
      <c r="A281" s="68"/>
      <c r="B281" s="69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68"/>
    </row>
    <row r="282" spans="1:15" x14ac:dyDescent="0.25">
      <c r="A282" s="68"/>
      <c r="B282" s="69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68"/>
    </row>
    <row r="283" spans="1:15" x14ac:dyDescent="0.25">
      <c r="A283" s="68"/>
      <c r="B283" s="69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68"/>
    </row>
    <row r="284" spans="1:15" x14ac:dyDescent="0.25">
      <c r="A284" s="68"/>
      <c r="B284" s="69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68"/>
    </row>
    <row r="285" spans="1:15" x14ac:dyDescent="0.25">
      <c r="A285" s="68"/>
      <c r="B285" s="69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68"/>
    </row>
    <row r="286" spans="1:15" x14ac:dyDescent="0.25">
      <c r="A286" s="68"/>
      <c r="B286" s="69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68"/>
    </row>
    <row r="287" spans="1:15" x14ac:dyDescent="0.25">
      <c r="A287" s="68"/>
      <c r="B287" s="69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68"/>
    </row>
    <row r="288" spans="1:15" x14ac:dyDescent="0.25">
      <c r="A288" s="68"/>
      <c r="B288" s="69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68"/>
    </row>
    <row r="289" spans="1:15" x14ac:dyDescent="0.25">
      <c r="A289" s="68"/>
      <c r="B289" s="69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68"/>
    </row>
    <row r="290" spans="1:15" x14ac:dyDescent="0.25">
      <c r="A290" s="68"/>
      <c r="B290" s="69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68"/>
    </row>
    <row r="291" spans="1:15" x14ac:dyDescent="0.25">
      <c r="A291" s="68"/>
      <c r="B291" s="69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68"/>
    </row>
    <row r="292" spans="1:15" x14ac:dyDescent="0.25">
      <c r="A292" s="68"/>
      <c r="B292" s="69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68"/>
    </row>
    <row r="293" spans="1:15" x14ac:dyDescent="0.25">
      <c r="A293" s="68"/>
      <c r="B293" s="69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68"/>
    </row>
    <row r="294" spans="1:15" x14ac:dyDescent="0.25">
      <c r="A294" s="68"/>
      <c r="B294" s="69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68"/>
    </row>
    <row r="295" spans="1:15" x14ac:dyDescent="0.25">
      <c r="A295" s="68"/>
      <c r="B295" s="69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68"/>
    </row>
    <row r="296" spans="1:15" x14ac:dyDescent="0.25">
      <c r="A296" s="68"/>
      <c r="B296" s="69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68"/>
    </row>
    <row r="297" spans="1:15" x14ac:dyDescent="0.25">
      <c r="A297" s="68"/>
      <c r="B297" s="69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68"/>
    </row>
    <row r="298" spans="1:15" x14ac:dyDescent="0.25">
      <c r="A298" s="68"/>
      <c r="B298" s="69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68"/>
    </row>
    <row r="299" spans="1:15" x14ac:dyDescent="0.25">
      <c r="A299" s="68"/>
      <c r="B299" s="69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68"/>
    </row>
    <row r="300" spans="1:15" x14ac:dyDescent="0.25">
      <c r="A300" s="68"/>
      <c r="B300" s="69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68"/>
    </row>
    <row r="301" spans="1:15" x14ac:dyDescent="0.25">
      <c r="A301" s="68"/>
      <c r="B301" s="69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68"/>
    </row>
    <row r="302" spans="1:15" x14ac:dyDescent="0.25">
      <c r="A302" s="68"/>
      <c r="B302" s="69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68"/>
    </row>
    <row r="303" spans="1:15" x14ac:dyDescent="0.25">
      <c r="A303" s="68"/>
      <c r="B303" s="69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68"/>
    </row>
    <row r="304" spans="1:15" x14ac:dyDescent="0.25">
      <c r="A304" s="68"/>
      <c r="B304" s="69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68"/>
    </row>
    <row r="305" spans="1:15" x14ac:dyDescent="0.25">
      <c r="A305" s="68"/>
      <c r="B305" s="69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68"/>
    </row>
    <row r="306" spans="1:15" x14ac:dyDescent="0.25">
      <c r="A306" s="68"/>
      <c r="B306" s="69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68"/>
    </row>
    <row r="307" spans="1:15" x14ac:dyDescent="0.25">
      <c r="A307" s="68"/>
      <c r="B307" s="69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68"/>
    </row>
    <row r="308" spans="1:15" x14ac:dyDescent="0.25">
      <c r="A308" s="68"/>
      <c r="B308" s="69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68"/>
    </row>
    <row r="309" spans="1:15" x14ac:dyDescent="0.25">
      <c r="A309" s="68"/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68"/>
    </row>
    <row r="310" spans="1:15" x14ac:dyDescent="0.25">
      <c r="A310" s="68"/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68"/>
    </row>
    <row r="311" spans="1:15" x14ac:dyDescent="0.25">
      <c r="A311" s="68"/>
      <c r="B311" s="69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68"/>
    </row>
    <row r="312" spans="1:15" x14ac:dyDescent="0.25">
      <c r="A312" s="68"/>
      <c r="B312" s="69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68"/>
    </row>
    <row r="313" spans="1:15" x14ac:dyDescent="0.25">
      <c r="A313" s="68"/>
      <c r="B313" s="69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68"/>
    </row>
    <row r="314" spans="1:15" x14ac:dyDescent="0.25">
      <c r="A314" s="68"/>
      <c r="B314" s="69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68"/>
    </row>
    <row r="315" spans="1:15" x14ac:dyDescent="0.25">
      <c r="A315" s="68"/>
      <c r="B315" s="69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68"/>
    </row>
    <row r="316" spans="1:15" x14ac:dyDescent="0.25">
      <c r="A316" s="68"/>
      <c r="B316" s="69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68"/>
    </row>
    <row r="317" spans="1:15" x14ac:dyDescent="0.25">
      <c r="A317" s="68"/>
      <c r="B317" s="69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68"/>
    </row>
    <row r="318" spans="1:15" x14ac:dyDescent="0.25">
      <c r="A318" s="68"/>
      <c r="B318" s="69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68"/>
    </row>
    <row r="319" spans="1:15" x14ac:dyDescent="0.25">
      <c r="A319" s="68"/>
      <c r="B319" s="69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68"/>
    </row>
    <row r="320" spans="1:15" x14ac:dyDescent="0.25">
      <c r="A320" s="68"/>
      <c r="B320" s="69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68"/>
    </row>
    <row r="321" spans="1:15" x14ac:dyDescent="0.25">
      <c r="A321" s="68"/>
      <c r="B321" s="69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68"/>
    </row>
    <row r="322" spans="1:15" x14ac:dyDescent="0.25">
      <c r="A322" s="68"/>
      <c r="B322" s="69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68"/>
    </row>
    <row r="323" spans="1:15" x14ac:dyDescent="0.25">
      <c r="A323" s="68"/>
      <c r="B323" s="69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68"/>
    </row>
    <row r="324" spans="1:15" x14ac:dyDescent="0.25">
      <c r="A324" s="68"/>
      <c r="B324" s="69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68"/>
    </row>
    <row r="325" spans="1:15" x14ac:dyDescent="0.25">
      <c r="A325" s="68"/>
      <c r="B325" s="69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68"/>
    </row>
    <row r="326" spans="1:15" x14ac:dyDescent="0.25">
      <c r="A326" s="68"/>
      <c r="B326" s="69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68"/>
    </row>
    <row r="327" spans="1:15" x14ac:dyDescent="0.25">
      <c r="A327" s="68"/>
      <c r="B327" s="69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68"/>
    </row>
    <row r="328" spans="1:15" x14ac:dyDescent="0.25">
      <c r="A328" s="68"/>
      <c r="B328" s="69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68"/>
    </row>
    <row r="329" spans="1:15" x14ac:dyDescent="0.25">
      <c r="A329" s="68"/>
      <c r="B329" s="69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68"/>
    </row>
    <row r="330" spans="1:15" x14ac:dyDescent="0.25">
      <c r="A330" s="68"/>
      <c r="B330" s="69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68"/>
    </row>
    <row r="331" spans="1:15" x14ac:dyDescent="0.25">
      <c r="A331" s="68"/>
      <c r="B331" s="69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68"/>
    </row>
    <row r="332" spans="1:15" x14ac:dyDescent="0.25">
      <c r="A332" s="68"/>
      <c r="B332" s="69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68"/>
    </row>
    <row r="333" spans="1:15" x14ac:dyDescent="0.25">
      <c r="A333" s="68"/>
      <c r="B333" s="69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68"/>
    </row>
    <row r="334" spans="1:15" x14ac:dyDescent="0.25">
      <c r="A334" s="68"/>
      <c r="B334" s="69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68"/>
    </row>
    <row r="335" spans="1:15" x14ac:dyDescent="0.25">
      <c r="A335" s="68"/>
      <c r="B335" s="69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68"/>
    </row>
    <row r="336" spans="1:15" x14ac:dyDescent="0.25">
      <c r="A336" s="68"/>
      <c r="B336" s="69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68"/>
    </row>
    <row r="337" spans="1:15" x14ac:dyDescent="0.25">
      <c r="A337" s="68"/>
      <c r="B337" s="69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68"/>
    </row>
    <row r="338" spans="1:15" x14ac:dyDescent="0.25">
      <c r="A338" s="68"/>
      <c r="B338" s="69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68"/>
    </row>
    <row r="339" spans="1:15" x14ac:dyDescent="0.25">
      <c r="A339" s="68"/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68"/>
    </row>
    <row r="340" spans="1:15" x14ac:dyDescent="0.25">
      <c r="A340" s="68"/>
      <c r="B340" s="69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68"/>
    </row>
    <row r="341" spans="1:15" x14ac:dyDescent="0.25">
      <c r="A341" s="68"/>
      <c r="B341" s="69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68"/>
    </row>
    <row r="342" spans="1:15" x14ac:dyDescent="0.25">
      <c r="A342" s="68"/>
      <c r="B342" s="69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68"/>
    </row>
    <row r="343" spans="1:15" x14ac:dyDescent="0.25">
      <c r="A343" s="68"/>
      <c r="B343" s="69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68"/>
    </row>
    <row r="344" spans="1:15" x14ac:dyDescent="0.25">
      <c r="A344" s="68"/>
      <c r="B344" s="69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68"/>
    </row>
    <row r="345" spans="1:15" x14ac:dyDescent="0.25">
      <c r="A345" s="68"/>
      <c r="B345" s="69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68"/>
    </row>
    <row r="346" spans="1:15" x14ac:dyDescent="0.25">
      <c r="A346" s="68"/>
      <c r="B346" s="69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68"/>
    </row>
    <row r="347" spans="1:15" x14ac:dyDescent="0.25">
      <c r="A347" s="68"/>
      <c r="B347" s="69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68"/>
    </row>
    <row r="348" spans="1:15" x14ac:dyDescent="0.25">
      <c r="A348" s="68"/>
      <c r="B348" s="69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68"/>
    </row>
    <row r="349" spans="1:15" x14ac:dyDescent="0.25">
      <c r="A349" s="68"/>
      <c r="B349" s="69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68"/>
    </row>
    <row r="350" spans="1:15" x14ac:dyDescent="0.25">
      <c r="A350" s="68"/>
      <c r="B350" s="69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68"/>
    </row>
    <row r="351" spans="1:15" x14ac:dyDescent="0.25">
      <c r="A351" s="68"/>
      <c r="B351" s="69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68"/>
    </row>
    <row r="352" spans="1:15" x14ac:dyDescent="0.25">
      <c r="A352" s="68"/>
      <c r="B352" s="69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68"/>
    </row>
    <row r="353" spans="1:15" x14ac:dyDescent="0.25">
      <c r="A353" s="68"/>
      <c r="B353" s="69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68"/>
    </row>
    <row r="354" spans="1:15" x14ac:dyDescent="0.25">
      <c r="A354" s="68"/>
      <c r="B354" s="69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68"/>
    </row>
    <row r="355" spans="1:15" x14ac:dyDescent="0.25">
      <c r="A355" s="68"/>
      <c r="B355" s="69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68"/>
    </row>
    <row r="356" spans="1:15" x14ac:dyDescent="0.25">
      <c r="A356" s="68"/>
      <c r="B356" s="69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68"/>
    </row>
    <row r="357" spans="1:15" x14ac:dyDescent="0.25">
      <c r="A357" s="68"/>
      <c r="B357" s="69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68"/>
    </row>
    <row r="358" spans="1:15" x14ac:dyDescent="0.25">
      <c r="A358" s="68"/>
      <c r="B358" s="69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68"/>
    </row>
    <row r="359" spans="1:15" x14ac:dyDescent="0.25">
      <c r="A359" s="68"/>
      <c r="B359" s="69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68"/>
    </row>
    <row r="360" spans="1:15" x14ac:dyDescent="0.25">
      <c r="A360" s="68"/>
      <c r="B360" s="69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68"/>
    </row>
    <row r="361" spans="1:15" x14ac:dyDescent="0.25">
      <c r="A361" s="68"/>
      <c r="B361" s="69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68"/>
    </row>
    <row r="362" spans="1:15" x14ac:dyDescent="0.25">
      <c r="A362" s="68"/>
      <c r="B362" s="69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68"/>
    </row>
    <row r="363" spans="1:15" x14ac:dyDescent="0.25">
      <c r="A363" s="68"/>
      <c r="B363" s="69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68"/>
    </row>
    <row r="364" spans="1:15" x14ac:dyDescent="0.25">
      <c r="A364" s="68"/>
      <c r="B364" s="69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68"/>
    </row>
    <row r="365" spans="1:15" x14ac:dyDescent="0.25">
      <c r="A365" s="68"/>
      <c r="B365" s="69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68"/>
    </row>
    <row r="366" spans="1:15" x14ac:dyDescent="0.25">
      <c r="A366" s="68"/>
      <c r="B366" s="69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68"/>
    </row>
    <row r="367" spans="1:15" x14ac:dyDescent="0.25">
      <c r="A367" s="68"/>
      <c r="B367" s="69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68"/>
    </row>
    <row r="368" spans="1:15" x14ac:dyDescent="0.25">
      <c r="A368" s="68"/>
      <c r="B368" s="69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68"/>
    </row>
    <row r="369" spans="1:15" x14ac:dyDescent="0.25">
      <c r="A369" s="68"/>
      <c r="B369" s="69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68"/>
    </row>
    <row r="370" spans="1:15" x14ac:dyDescent="0.25">
      <c r="A370" s="68"/>
      <c r="B370" s="69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68"/>
    </row>
    <row r="371" spans="1:15" x14ac:dyDescent="0.25">
      <c r="A371" s="68"/>
      <c r="B371" s="69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68"/>
    </row>
    <row r="372" spans="1:15" x14ac:dyDescent="0.25">
      <c r="A372" s="68"/>
      <c r="B372" s="69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68"/>
    </row>
    <row r="373" spans="1:15" x14ac:dyDescent="0.25">
      <c r="A373" s="68"/>
      <c r="B373" s="69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68"/>
    </row>
    <row r="374" spans="1:15" x14ac:dyDescent="0.25">
      <c r="A374" s="68"/>
      <c r="B374" s="69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68"/>
    </row>
    <row r="375" spans="1:15" x14ac:dyDescent="0.25">
      <c r="A375" s="68"/>
      <c r="B375" s="69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68"/>
    </row>
    <row r="376" spans="1:15" x14ac:dyDescent="0.25">
      <c r="A376" s="68"/>
      <c r="B376" s="69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68"/>
    </row>
    <row r="377" spans="1:15" x14ac:dyDescent="0.25">
      <c r="A377" s="68"/>
      <c r="B377" s="69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68"/>
    </row>
    <row r="378" spans="1:15" x14ac:dyDescent="0.25">
      <c r="A378" s="68"/>
      <c r="B378" s="69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68"/>
    </row>
    <row r="379" spans="1:15" x14ac:dyDescent="0.25">
      <c r="A379" s="68"/>
      <c r="B379" s="69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68"/>
    </row>
    <row r="380" spans="1:15" x14ac:dyDescent="0.25">
      <c r="A380" s="68"/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68"/>
    </row>
    <row r="381" spans="1:15" x14ac:dyDescent="0.25">
      <c r="A381" s="68"/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68"/>
    </row>
    <row r="382" spans="1:15" x14ac:dyDescent="0.25">
      <c r="A382" s="68"/>
      <c r="B382" s="69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68"/>
    </row>
    <row r="383" spans="1:15" x14ac:dyDescent="0.25">
      <c r="A383" s="68"/>
      <c r="B383" s="69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68"/>
    </row>
    <row r="384" spans="1:15" x14ac:dyDescent="0.25">
      <c r="A384" s="68"/>
      <c r="B384" s="69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68"/>
    </row>
    <row r="385" spans="1:15" x14ac:dyDescent="0.25">
      <c r="A385" s="68"/>
      <c r="B385" s="69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68"/>
    </row>
    <row r="386" spans="1:15" x14ac:dyDescent="0.25">
      <c r="A386" s="68"/>
      <c r="B386" s="69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68"/>
    </row>
    <row r="387" spans="1:15" x14ac:dyDescent="0.25">
      <c r="A387" s="68"/>
      <c r="B387" s="69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68"/>
    </row>
    <row r="388" spans="1:15" x14ac:dyDescent="0.25">
      <c r="A388" s="68"/>
      <c r="B388" s="69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68"/>
    </row>
    <row r="389" spans="1:15" x14ac:dyDescent="0.25">
      <c r="A389" s="68"/>
      <c r="B389" s="69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68"/>
    </row>
    <row r="390" spans="1:15" x14ac:dyDescent="0.25">
      <c r="A390" s="68"/>
      <c r="B390" s="69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68"/>
    </row>
    <row r="391" spans="1:15" x14ac:dyDescent="0.25">
      <c r="A391" s="68"/>
      <c r="B391" s="69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68"/>
    </row>
    <row r="392" spans="1:15" x14ac:dyDescent="0.25">
      <c r="A392" s="68"/>
      <c r="B392" s="69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68"/>
    </row>
    <row r="393" spans="1:15" x14ac:dyDescent="0.25">
      <c r="A393" s="68"/>
      <c r="B393" s="69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68"/>
    </row>
    <row r="394" spans="1:15" x14ac:dyDescent="0.25">
      <c r="A394" s="68"/>
      <c r="B394" s="69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68"/>
    </row>
    <row r="395" spans="1:15" x14ac:dyDescent="0.25">
      <c r="A395" s="68"/>
      <c r="B395" s="69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68"/>
    </row>
    <row r="396" spans="1:15" x14ac:dyDescent="0.25">
      <c r="A396" s="68"/>
      <c r="B396" s="69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68"/>
    </row>
    <row r="397" spans="1:15" x14ac:dyDescent="0.25">
      <c r="A397" s="68"/>
      <c r="B397" s="69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68"/>
    </row>
    <row r="398" spans="1:15" x14ac:dyDescent="0.25">
      <c r="A398" s="68"/>
      <c r="B398" s="69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68"/>
    </row>
    <row r="399" spans="1:15" x14ac:dyDescent="0.25">
      <c r="A399" s="68"/>
      <c r="B399" s="69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68"/>
    </row>
    <row r="400" spans="1:15" x14ac:dyDescent="0.25">
      <c r="A400" s="68"/>
      <c r="B400" s="69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68"/>
    </row>
    <row r="401" spans="1:15" x14ac:dyDescent="0.25">
      <c r="A401" s="68"/>
      <c r="B401" s="69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68"/>
    </row>
    <row r="402" spans="1:15" x14ac:dyDescent="0.25">
      <c r="A402" s="68"/>
      <c r="B402" s="69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68"/>
    </row>
    <row r="403" spans="1:15" x14ac:dyDescent="0.25">
      <c r="A403" s="68"/>
      <c r="B403" s="69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68"/>
    </row>
    <row r="404" spans="1:15" x14ac:dyDescent="0.25">
      <c r="A404" s="68"/>
      <c r="B404" s="69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68"/>
    </row>
    <row r="405" spans="1:15" x14ac:dyDescent="0.25">
      <c r="A405" s="68"/>
      <c r="B405" s="69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68"/>
    </row>
    <row r="406" spans="1:15" x14ac:dyDescent="0.25">
      <c r="A406" s="68"/>
      <c r="B406" s="69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68"/>
    </row>
    <row r="407" spans="1:15" x14ac:dyDescent="0.25">
      <c r="A407" s="68"/>
      <c r="B407" s="69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68"/>
    </row>
    <row r="408" spans="1:15" x14ac:dyDescent="0.25">
      <c r="A408" s="68"/>
      <c r="B408" s="69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68"/>
    </row>
    <row r="409" spans="1:15" x14ac:dyDescent="0.25">
      <c r="A409" s="68"/>
      <c r="B409" s="69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68"/>
    </row>
    <row r="410" spans="1:15" x14ac:dyDescent="0.25">
      <c r="A410" s="68"/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68"/>
    </row>
    <row r="411" spans="1:15" x14ac:dyDescent="0.25">
      <c r="A411" s="68"/>
      <c r="B411" s="69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68"/>
    </row>
    <row r="412" spans="1:15" x14ac:dyDescent="0.25">
      <c r="A412" s="68"/>
      <c r="B412" s="69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68"/>
    </row>
    <row r="413" spans="1:15" x14ac:dyDescent="0.25">
      <c r="A413" s="68"/>
      <c r="B413" s="69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68"/>
    </row>
    <row r="414" spans="1:15" x14ac:dyDescent="0.25">
      <c r="A414" s="68"/>
      <c r="B414" s="69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68"/>
    </row>
    <row r="415" spans="1:15" x14ac:dyDescent="0.25">
      <c r="A415" s="68"/>
      <c r="B415" s="69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68"/>
    </row>
    <row r="416" spans="1:15" x14ac:dyDescent="0.25">
      <c r="A416" s="68"/>
      <c r="B416" s="69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68"/>
    </row>
    <row r="417" spans="1:15" x14ac:dyDescent="0.25">
      <c r="A417" s="68"/>
      <c r="B417" s="69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68"/>
    </row>
    <row r="418" spans="1:15" x14ac:dyDescent="0.25">
      <c r="A418" s="68"/>
      <c r="B418" s="69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68"/>
    </row>
    <row r="419" spans="1:15" x14ac:dyDescent="0.25">
      <c r="A419" s="68"/>
      <c r="B419" s="69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68"/>
    </row>
    <row r="420" spans="1:15" x14ac:dyDescent="0.25">
      <c r="A420" s="68"/>
      <c r="B420" s="69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68"/>
    </row>
    <row r="421" spans="1:15" x14ac:dyDescent="0.25">
      <c r="A421" s="68"/>
      <c r="B421" s="69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68"/>
    </row>
    <row r="422" spans="1:15" x14ac:dyDescent="0.25">
      <c r="A422" s="68"/>
      <c r="B422" s="69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68"/>
    </row>
    <row r="423" spans="1:15" x14ac:dyDescent="0.25">
      <c r="A423" s="68"/>
      <c r="B423" s="69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68"/>
    </row>
    <row r="424" spans="1:15" x14ac:dyDescent="0.25">
      <c r="A424" s="68"/>
      <c r="B424" s="69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68"/>
    </row>
    <row r="425" spans="1:15" x14ac:dyDescent="0.25">
      <c r="A425" s="68"/>
      <c r="B425" s="69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68"/>
    </row>
    <row r="426" spans="1:15" x14ac:dyDescent="0.25">
      <c r="A426" s="68"/>
      <c r="B426" s="69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68"/>
    </row>
    <row r="427" spans="1:15" x14ac:dyDescent="0.25">
      <c r="A427" s="68"/>
      <c r="B427" s="69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68"/>
    </row>
    <row r="428" spans="1:15" x14ac:dyDescent="0.25">
      <c r="A428" s="68"/>
      <c r="B428" s="69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68"/>
    </row>
    <row r="429" spans="1:15" x14ac:dyDescent="0.25">
      <c r="A429" s="68"/>
      <c r="B429" s="69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68"/>
    </row>
    <row r="430" spans="1:15" x14ac:dyDescent="0.25">
      <c r="A430" s="68"/>
      <c r="B430" s="69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68"/>
    </row>
    <row r="431" spans="1:15" x14ac:dyDescent="0.25">
      <c r="A431" s="68"/>
      <c r="B431" s="69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68"/>
    </row>
    <row r="432" spans="1:15" x14ac:dyDescent="0.25">
      <c r="A432" s="68"/>
      <c r="B432" s="69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68"/>
    </row>
    <row r="433" spans="1:15" x14ac:dyDescent="0.25">
      <c r="A433" s="68"/>
      <c r="B433" s="69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68"/>
    </row>
    <row r="434" spans="1:15" x14ac:dyDescent="0.25">
      <c r="A434" s="68"/>
      <c r="B434" s="69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68"/>
    </row>
    <row r="435" spans="1:15" x14ac:dyDescent="0.25">
      <c r="A435" s="68"/>
      <c r="B435" s="69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68"/>
    </row>
    <row r="436" spans="1:15" x14ac:dyDescent="0.25">
      <c r="A436" s="68"/>
      <c r="B436" s="69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68"/>
    </row>
    <row r="437" spans="1:15" x14ac:dyDescent="0.25">
      <c r="A437" s="68"/>
      <c r="B437" s="69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68"/>
    </row>
    <row r="438" spans="1:15" x14ac:dyDescent="0.25">
      <c r="A438" s="68"/>
      <c r="B438" s="69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68"/>
    </row>
    <row r="439" spans="1:15" x14ac:dyDescent="0.25">
      <c r="A439" s="68"/>
      <c r="B439" s="69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68"/>
    </row>
    <row r="440" spans="1:15" x14ac:dyDescent="0.25">
      <c r="A440" s="68"/>
      <c r="B440" s="69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68"/>
    </row>
    <row r="441" spans="1:15" x14ac:dyDescent="0.25">
      <c r="A441" s="68"/>
      <c r="B441" s="69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68"/>
    </row>
    <row r="442" spans="1:15" x14ac:dyDescent="0.25">
      <c r="A442" s="68"/>
      <c r="B442" s="69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68"/>
    </row>
    <row r="443" spans="1:15" x14ac:dyDescent="0.25">
      <c r="A443" s="68"/>
      <c r="B443" s="69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68"/>
    </row>
    <row r="444" spans="1:15" x14ac:dyDescent="0.25">
      <c r="A444" s="68"/>
      <c r="B444" s="69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68"/>
    </row>
    <row r="445" spans="1:15" x14ac:dyDescent="0.25">
      <c r="A445" s="68"/>
      <c r="B445" s="69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68"/>
    </row>
    <row r="446" spans="1:15" x14ac:dyDescent="0.25">
      <c r="A446" s="68"/>
      <c r="B446" s="69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68"/>
    </row>
    <row r="447" spans="1:15" x14ac:dyDescent="0.25">
      <c r="A447" s="68"/>
      <c r="B447" s="69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68"/>
    </row>
    <row r="448" spans="1:15" x14ac:dyDescent="0.25">
      <c r="A448" s="68"/>
      <c r="B448" s="69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68"/>
    </row>
    <row r="449" spans="1:15" x14ac:dyDescent="0.25">
      <c r="A449" s="68"/>
      <c r="B449" s="69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68"/>
    </row>
    <row r="450" spans="1:15" x14ac:dyDescent="0.25">
      <c r="A450" s="68"/>
      <c r="B450" s="69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68"/>
    </row>
    <row r="451" spans="1:15" x14ac:dyDescent="0.25">
      <c r="A451" s="68"/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68"/>
    </row>
    <row r="452" spans="1:15" x14ac:dyDescent="0.25">
      <c r="A452" s="68"/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68"/>
    </row>
    <row r="453" spans="1:15" x14ac:dyDescent="0.25">
      <c r="A453" s="68"/>
      <c r="B453" s="69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68"/>
    </row>
    <row r="454" spans="1:15" x14ac:dyDescent="0.25">
      <c r="A454" s="68"/>
      <c r="B454" s="69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68"/>
    </row>
    <row r="455" spans="1:15" x14ac:dyDescent="0.25">
      <c r="A455" s="68"/>
      <c r="B455" s="69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68"/>
    </row>
    <row r="456" spans="1:15" x14ac:dyDescent="0.25">
      <c r="A456" s="68"/>
      <c r="B456" s="69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68"/>
    </row>
    <row r="457" spans="1:15" x14ac:dyDescent="0.25">
      <c r="A457" s="68"/>
      <c r="B457" s="69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68"/>
    </row>
    <row r="458" spans="1:15" x14ac:dyDescent="0.25">
      <c r="A458" s="68"/>
      <c r="B458" s="69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68"/>
    </row>
    <row r="459" spans="1:15" x14ac:dyDescent="0.25">
      <c r="A459" s="68"/>
      <c r="B459" s="69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68"/>
    </row>
    <row r="460" spans="1:15" x14ac:dyDescent="0.25">
      <c r="A460" s="68"/>
      <c r="B460" s="69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68"/>
    </row>
    <row r="461" spans="1:15" x14ac:dyDescent="0.25">
      <c r="A461" s="68"/>
      <c r="B461" s="69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68"/>
    </row>
    <row r="462" spans="1:15" x14ac:dyDescent="0.25">
      <c r="A462" s="68"/>
      <c r="B462" s="69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68"/>
    </row>
    <row r="463" spans="1:15" x14ac:dyDescent="0.25">
      <c r="A463" s="68"/>
      <c r="B463" s="69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68"/>
    </row>
    <row r="464" spans="1:15" x14ac:dyDescent="0.25">
      <c r="A464" s="68"/>
      <c r="B464" s="69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68"/>
    </row>
    <row r="465" spans="1:15" x14ac:dyDescent="0.25">
      <c r="A465" s="68"/>
      <c r="B465" s="69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68"/>
    </row>
    <row r="466" spans="1:15" x14ac:dyDescent="0.25">
      <c r="A466" s="68"/>
      <c r="B466" s="69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68"/>
    </row>
    <row r="467" spans="1:15" x14ac:dyDescent="0.25">
      <c r="A467" s="68"/>
      <c r="B467" s="69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68"/>
    </row>
    <row r="468" spans="1:15" x14ac:dyDescent="0.25">
      <c r="A468" s="68"/>
      <c r="B468" s="69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68"/>
    </row>
    <row r="469" spans="1:15" x14ac:dyDescent="0.25">
      <c r="A469" s="68"/>
      <c r="B469" s="69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68"/>
    </row>
    <row r="470" spans="1:15" x14ac:dyDescent="0.25">
      <c r="A470" s="68"/>
      <c r="B470" s="69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68"/>
    </row>
    <row r="471" spans="1:15" x14ac:dyDescent="0.25">
      <c r="A471" s="68"/>
      <c r="B471" s="69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68"/>
    </row>
    <row r="472" spans="1:15" x14ac:dyDescent="0.25">
      <c r="A472" s="68"/>
      <c r="B472" s="69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68"/>
    </row>
    <row r="473" spans="1:15" x14ac:dyDescent="0.25">
      <c r="A473" s="68"/>
      <c r="B473" s="69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68"/>
    </row>
    <row r="474" spans="1:15" x14ac:dyDescent="0.25">
      <c r="A474" s="68"/>
      <c r="B474" s="69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68"/>
    </row>
    <row r="475" spans="1:15" x14ac:dyDescent="0.25">
      <c r="A475" s="68"/>
      <c r="B475" s="69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68"/>
    </row>
    <row r="476" spans="1:15" x14ac:dyDescent="0.25">
      <c r="A476" s="68"/>
      <c r="B476" s="69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68"/>
    </row>
    <row r="477" spans="1:15" x14ac:dyDescent="0.25">
      <c r="A477" s="68"/>
      <c r="B477" s="69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68"/>
    </row>
    <row r="478" spans="1:15" x14ac:dyDescent="0.25">
      <c r="A478" s="68"/>
      <c r="B478" s="69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68"/>
    </row>
    <row r="479" spans="1:15" x14ac:dyDescent="0.25">
      <c r="A479" s="68"/>
      <c r="B479" s="69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68"/>
    </row>
    <row r="480" spans="1:15" x14ac:dyDescent="0.25">
      <c r="A480" s="68"/>
      <c r="B480" s="69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68"/>
    </row>
    <row r="481" spans="1:15" x14ac:dyDescent="0.25">
      <c r="A481" s="68"/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68"/>
    </row>
    <row r="482" spans="1:15" x14ac:dyDescent="0.25">
      <c r="A482" s="68"/>
      <c r="B482" s="69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68"/>
    </row>
    <row r="483" spans="1:15" x14ac:dyDescent="0.25">
      <c r="A483" s="68"/>
      <c r="B483" s="69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68"/>
    </row>
    <row r="484" spans="1:15" x14ac:dyDescent="0.25">
      <c r="A484" s="68"/>
      <c r="B484" s="69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68"/>
    </row>
    <row r="485" spans="1:15" x14ac:dyDescent="0.25">
      <c r="A485" s="68"/>
      <c r="B485" s="69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68"/>
    </row>
    <row r="486" spans="1:15" x14ac:dyDescent="0.25">
      <c r="A486" s="68"/>
      <c r="B486" s="69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68"/>
    </row>
    <row r="487" spans="1:15" x14ac:dyDescent="0.25">
      <c r="A487" s="68"/>
      <c r="B487" s="69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68"/>
    </row>
    <row r="488" spans="1:15" x14ac:dyDescent="0.25">
      <c r="A488" s="68"/>
      <c r="B488" s="69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68"/>
    </row>
    <row r="489" spans="1:15" x14ac:dyDescent="0.25">
      <c r="A489" s="68"/>
      <c r="B489" s="69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68"/>
    </row>
    <row r="490" spans="1:15" x14ac:dyDescent="0.25">
      <c r="A490" s="68"/>
      <c r="B490" s="69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68"/>
    </row>
    <row r="491" spans="1:15" x14ac:dyDescent="0.25">
      <c r="A491" s="68"/>
      <c r="B491" s="69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68"/>
    </row>
    <row r="492" spans="1:15" x14ac:dyDescent="0.25">
      <c r="A492" s="68"/>
      <c r="B492" s="69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68"/>
    </row>
    <row r="493" spans="1:15" x14ac:dyDescent="0.25">
      <c r="A493" s="68"/>
      <c r="B493" s="69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68"/>
    </row>
    <row r="494" spans="1:15" x14ac:dyDescent="0.25">
      <c r="A494" s="68"/>
      <c r="B494" s="69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68"/>
    </row>
    <row r="495" spans="1:15" x14ac:dyDescent="0.25">
      <c r="A495" s="68"/>
      <c r="B495" s="69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68"/>
    </row>
    <row r="496" spans="1:15" x14ac:dyDescent="0.25">
      <c r="A496" s="68"/>
      <c r="B496" s="69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68"/>
    </row>
    <row r="497" spans="1:15" x14ac:dyDescent="0.25">
      <c r="A497" s="68"/>
      <c r="B497" s="69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68"/>
    </row>
    <row r="498" spans="1:15" x14ac:dyDescent="0.25">
      <c r="A498" s="68"/>
      <c r="B498" s="69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68"/>
    </row>
    <row r="499" spans="1:15" x14ac:dyDescent="0.25">
      <c r="A499" s="68"/>
      <c r="B499" s="69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68"/>
    </row>
    <row r="500" spans="1:15" x14ac:dyDescent="0.25">
      <c r="A500" s="68"/>
      <c r="B500" s="69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68"/>
    </row>
    <row r="501" spans="1:15" x14ac:dyDescent="0.25">
      <c r="A501" s="68"/>
      <c r="B501" s="69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68"/>
    </row>
    <row r="502" spans="1:15" x14ac:dyDescent="0.25">
      <c r="A502" s="68"/>
      <c r="B502" s="69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68"/>
    </row>
    <row r="503" spans="1:15" x14ac:dyDescent="0.25">
      <c r="A503" s="68"/>
      <c r="B503" s="69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68"/>
    </row>
    <row r="504" spans="1:15" x14ac:dyDescent="0.25">
      <c r="A504" s="68"/>
      <c r="B504" s="69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68"/>
    </row>
    <row r="505" spans="1:15" x14ac:dyDescent="0.25">
      <c r="A505" s="68"/>
      <c r="B505" s="69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68"/>
    </row>
    <row r="506" spans="1:15" x14ac:dyDescent="0.25">
      <c r="A506" s="68"/>
      <c r="B506" s="69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68"/>
    </row>
    <row r="507" spans="1:15" x14ac:dyDescent="0.25">
      <c r="A507" s="68"/>
      <c r="B507" s="69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68"/>
    </row>
    <row r="508" spans="1:15" x14ac:dyDescent="0.25">
      <c r="A508" s="68"/>
      <c r="B508" s="69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68"/>
    </row>
    <row r="509" spans="1:15" x14ac:dyDescent="0.25">
      <c r="A509" s="68"/>
      <c r="B509" s="69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68"/>
    </row>
    <row r="510" spans="1:15" x14ac:dyDescent="0.25">
      <c r="A510" s="68"/>
      <c r="B510" s="69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68"/>
    </row>
    <row r="511" spans="1:15" x14ac:dyDescent="0.25">
      <c r="A511" s="68"/>
      <c r="B511" s="69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68"/>
    </row>
    <row r="512" spans="1:15" x14ac:dyDescent="0.25">
      <c r="A512" s="68"/>
      <c r="B512" s="69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68"/>
    </row>
    <row r="513" spans="1:15" x14ac:dyDescent="0.25">
      <c r="A513" s="68"/>
      <c r="B513" s="69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68"/>
    </row>
    <row r="514" spans="1:15" x14ac:dyDescent="0.25">
      <c r="A514" s="68"/>
      <c r="B514" s="69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68"/>
    </row>
    <row r="515" spans="1:15" x14ac:dyDescent="0.25">
      <c r="A515" s="68"/>
      <c r="B515" s="69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68"/>
    </row>
    <row r="516" spans="1:15" x14ac:dyDescent="0.25">
      <c r="A516" s="68"/>
      <c r="B516" s="69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68"/>
    </row>
    <row r="517" spans="1:15" x14ac:dyDescent="0.25">
      <c r="A517" s="68"/>
      <c r="B517" s="69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68"/>
    </row>
    <row r="518" spans="1:15" x14ac:dyDescent="0.25">
      <c r="A518" s="68"/>
      <c r="B518" s="69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68"/>
    </row>
    <row r="519" spans="1:15" x14ac:dyDescent="0.25">
      <c r="A519" s="68"/>
      <c r="B519" s="69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68"/>
    </row>
    <row r="520" spans="1:15" x14ac:dyDescent="0.25">
      <c r="A520" s="68"/>
      <c r="B520" s="69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68"/>
    </row>
    <row r="521" spans="1:15" x14ac:dyDescent="0.25">
      <c r="A521" s="68"/>
      <c r="B521" s="69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68"/>
    </row>
    <row r="522" spans="1:15" x14ac:dyDescent="0.25">
      <c r="A522" s="68"/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68"/>
    </row>
    <row r="523" spans="1:15" x14ac:dyDescent="0.25">
      <c r="A523" s="68"/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68"/>
    </row>
    <row r="524" spans="1:15" x14ac:dyDescent="0.25">
      <c r="A524" s="68"/>
      <c r="B524" s="69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68"/>
    </row>
    <row r="525" spans="1:15" x14ac:dyDescent="0.25">
      <c r="A525" s="68"/>
      <c r="B525" s="69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68"/>
    </row>
    <row r="526" spans="1:15" x14ac:dyDescent="0.25">
      <c r="A526" s="68"/>
      <c r="B526" s="69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68"/>
    </row>
    <row r="527" spans="1:15" x14ac:dyDescent="0.25">
      <c r="A527" s="68"/>
      <c r="B527" s="69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68"/>
    </row>
    <row r="528" spans="1:15" x14ac:dyDescent="0.25">
      <c r="A528" s="68"/>
      <c r="B528" s="69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68"/>
    </row>
    <row r="529" spans="1:15" x14ac:dyDescent="0.25">
      <c r="A529" s="68"/>
      <c r="B529" s="69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68"/>
    </row>
    <row r="530" spans="1:15" x14ac:dyDescent="0.25">
      <c r="A530" s="68"/>
      <c r="B530" s="69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68"/>
    </row>
    <row r="531" spans="1:15" x14ac:dyDescent="0.25">
      <c r="A531" s="68"/>
      <c r="B531" s="69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68"/>
    </row>
    <row r="532" spans="1:15" x14ac:dyDescent="0.25">
      <c r="A532" s="68"/>
      <c r="B532" s="69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68"/>
    </row>
    <row r="533" spans="1:15" x14ac:dyDescent="0.25">
      <c r="A533" s="68"/>
      <c r="B533" s="69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68"/>
    </row>
    <row r="534" spans="1:15" x14ac:dyDescent="0.25">
      <c r="A534" s="68"/>
      <c r="B534" s="69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68"/>
    </row>
    <row r="535" spans="1:15" x14ac:dyDescent="0.25">
      <c r="A535" s="68"/>
      <c r="B535" s="69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68"/>
    </row>
    <row r="536" spans="1:15" x14ac:dyDescent="0.25">
      <c r="A536" s="68"/>
      <c r="B536" s="69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68"/>
    </row>
    <row r="537" spans="1:15" x14ac:dyDescent="0.25">
      <c r="A537" s="68"/>
      <c r="B537" s="69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68"/>
    </row>
    <row r="538" spans="1:15" x14ac:dyDescent="0.25">
      <c r="A538" s="68"/>
      <c r="B538" s="69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68"/>
    </row>
    <row r="539" spans="1:15" x14ac:dyDescent="0.25">
      <c r="A539" s="68"/>
      <c r="B539" s="69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68"/>
    </row>
    <row r="540" spans="1:15" x14ac:dyDescent="0.25">
      <c r="A540" s="68"/>
      <c r="B540" s="69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68"/>
    </row>
    <row r="541" spans="1:15" x14ac:dyDescent="0.25">
      <c r="A541" s="68"/>
      <c r="B541" s="69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68"/>
    </row>
    <row r="542" spans="1:15" x14ac:dyDescent="0.25">
      <c r="A542" s="68"/>
      <c r="B542" s="69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68"/>
    </row>
    <row r="543" spans="1:15" x14ac:dyDescent="0.25">
      <c r="A543" s="68"/>
      <c r="B543" s="69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68"/>
    </row>
    <row r="544" spans="1:15" x14ac:dyDescent="0.25">
      <c r="A544" s="68"/>
      <c r="B544" s="69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68"/>
    </row>
    <row r="545" spans="1:15" x14ac:dyDescent="0.25">
      <c r="A545" s="68"/>
      <c r="B545" s="69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68"/>
    </row>
    <row r="546" spans="1:15" x14ac:dyDescent="0.25">
      <c r="A546" s="68"/>
      <c r="B546" s="69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68"/>
    </row>
    <row r="547" spans="1:15" x14ac:dyDescent="0.25">
      <c r="A547" s="68"/>
      <c r="B547" s="69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68"/>
    </row>
    <row r="548" spans="1:15" x14ac:dyDescent="0.25">
      <c r="A548" s="68"/>
      <c r="B548" s="69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68"/>
    </row>
    <row r="549" spans="1:15" x14ac:dyDescent="0.25">
      <c r="A549" s="68"/>
      <c r="B549" s="69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68"/>
    </row>
    <row r="550" spans="1:15" x14ac:dyDescent="0.25">
      <c r="A550" s="68"/>
      <c r="B550" s="69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68"/>
    </row>
    <row r="551" spans="1:15" x14ac:dyDescent="0.25">
      <c r="A551" s="68"/>
      <c r="B551" s="69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68"/>
    </row>
    <row r="552" spans="1:15" x14ac:dyDescent="0.25">
      <c r="A552" s="68"/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68"/>
    </row>
    <row r="553" spans="1:15" x14ac:dyDescent="0.25">
      <c r="A553" s="68"/>
      <c r="B553" s="69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68"/>
    </row>
    <row r="554" spans="1:15" x14ac:dyDescent="0.25">
      <c r="A554" s="68"/>
      <c r="B554" s="69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68"/>
    </row>
    <row r="555" spans="1:15" x14ac:dyDescent="0.25">
      <c r="A555" s="68"/>
      <c r="B555" s="69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68"/>
    </row>
    <row r="556" spans="1:15" x14ac:dyDescent="0.25">
      <c r="A556" s="68"/>
      <c r="B556" s="69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68"/>
    </row>
    <row r="557" spans="1:15" x14ac:dyDescent="0.25">
      <c r="A557" s="68"/>
      <c r="B557" s="69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68"/>
    </row>
    <row r="558" spans="1:15" x14ac:dyDescent="0.25">
      <c r="A558" s="68"/>
      <c r="B558" s="69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68"/>
    </row>
    <row r="559" spans="1:15" x14ac:dyDescent="0.25">
      <c r="A559" s="68"/>
      <c r="B559" s="69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68"/>
    </row>
    <row r="560" spans="1:15" x14ac:dyDescent="0.25">
      <c r="A560" s="68"/>
      <c r="B560" s="69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68"/>
    </row>
    <row r="561" spans="1:15" x14ac:dyDescent="0.25">
      <c r="A561" s="68"/>
      <c r="B561" s="69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68"/>
    </row>
    <row r="562" spans="1:15" x14ac:dyDescent="0.25">
      <c r="A562" s="68"/>
      <c r="B562" s="69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68"/>
    </row>
    <row r="563" spans="1:15" x14ac:dyDescent="0.25">
      <c r="A563" s="68"/>
      <c r="B563" s="69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68"/>
    </row>
    <row r="564" spans="1:15" x14ac:dyDescent="0.25">
      <c r="A564" s="68"/>
      <c r="B564" s="69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68"/>
    </row>
    <row r="565" spans="1:15" x14ac:dyDescent="0.25">
      <c r="A565" s="68"/>
      <c r="B565" s="69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68"/>
    </row>
    <row r="566" spans="1:15" x14ac:dyDescent="0.25">
      <c r="A566" s="68"/>
      <c r="B566" s="69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68"/>
    </row>
    <row r="567" spans="1:15" x14ac:dyDescent="0.25">
      <c r="A567" s="68"/>
      <c r="B567" s="69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68"/>
    </row>
    <row r="568" spans="1:15" x14ac:dyDescent="0.25">
      <c r="A568" s="68"/>
      <c r="B568" s="69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68"/>
    </row>
    <row r="569" spans="1:15" x14ac:dyDescent="0.25">
      <c r="A569" s="68"/>
      <c r="B569" s="69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68"/>
    </row>
    <row r="570" spans="1:15" x14ac:dyDescent="0.25">
      <c r="A570" s="68"/>
      <c r="B570" s="69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68"/>
    </row>
    <row r="571" spans="1:15" x14ac:dyDescent="0.25">
      <c r="A571" s="68"/>
      <c r="B571" s="69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68"/>
    </row>
    <row r="572" spans="1:15" x14ac:dyDescent="0.25">
      <c r="A572" s="68"/>
      <c r="B572" s="69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68"/>
    </row>
    <row r="573" spans="1:15" x14ac:dyDescent="0.25">
      <c r="A573" s="68"/>
      <c r="B573" s="69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68"/>
    </row>
    <row r="574" spans="1:15" x14ac:dyDescent="0.25">
      <c r="A574" s="68"/>
      <c r="B574" s="69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68"/>
    </row>
    <row r="575" spans="1:15" x14ac:dyDescent="0.25">
      <c r="A575" s="68"/>
      <c r="B575" s="69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68"/>
    </row>
    <row r="576" spans="1:15" x14ac:dyDescent="0.25">
      <c r="A576" s="68"/>
      <c r="B576" s="69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68"/>
    </row>
    <row r="577" spans="1:15" x14ac:dyDescent="0.25">
      <c r="A577" s="68"/>
      <c r="B577" s="69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68"/>
    </row>
    <row r="578" spans="1:15" x14ac:dyDescent="0.25">
      <c r="A578" s="68"/>
      <c r="B578" s="69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68"/>
    </row>
    <row r="579" spans="1:15" x14ac:dyDescent="0.25">
      <c r="A579" s="68"/>
      <c r="B579" s="69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68"/>
    </row>
    <row r="580" spans="1:15" x14ac:dyDescent="0.25">
      <c r="A580" s="68"/>
      <c r="B580" s="69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68"/>
    </row>
    <row r="581" spans="1:15" x14ac:dyDescent="0.25">
      <c r="A581" s="68"/>
      <c r="B581" s="69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68"/>
    </row>
    <row r="582" spans="1:15" x14ac:dyDescent="0.25">
      <c r="A582" s="68"/>
      <c r="B582" s="69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68"/>
    </row>
    <row r="583" spans="1:15" x14ac:dyDescent="0.25">
      <c r="A583" s="68"/>
      <c r="B583" s="69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68"/>
    </row>
    <row r="584" spans="1:15" x14ac:dyDescent="0.25">
      <c r="A584" s="68"/>
      <c r="B584" s="69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68"/>
    </row>
    <row r="585" spans="1:15" x14ac:dyDescent="0.25">
      <c r="A585" s="68"/>
      <c r="B585" s="69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68"/>
    </row>
    <row r="586" spans="1:15" x14ac:dyDescent="0.25">
      <c r="A586" s="68"/>
      <c r="B586" s="69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68"/>
    </row>
    <row r="587" spans="1:15" x14ac:dyDescent="0.25">
      <c r="A587" s="68"/>
      <c r="B587" s="69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68"/>
    </row>
    <row r="588" spans="1:15" x14ac:dyDescent="0.25">
      <c r="A588" s="68"/>
      <c r="B588" s="69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68"/>
    </row>
    <row r="589" spans="1:15" x14ac:dyDescent="0.25">
      <c r="A589" s="68"/>
      <c r="B589" s="69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68"/>
    </row>
    <row r="590" spans="1:15" x14ac:dyDescent="0.25">
      <c r="A590" s="68"/>
      <c r="B590" s="69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68"/>
    </row>
    <row r="591" spans="1:15" x14ac:dyDescent="0.25">
      <c r="A591" s="68"/>
      <c r="B591" s="69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68"/>
    </row>
    <row r="592" spans="1:15" x14ac:dyDescent="0.25">
      <c r="A592" s="68"/>
      <c r="B592" s="69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68"/>
    </row>
    <row r="593" spans="1:15" x14ac:dyDescent="0.25">
      <c r="A593" s="68"/>
      <c r="B593" s="69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68"/>
    </row>
    <row r="594" spans="1:15" x14ac:dyDescent="0.25">
      <c r="A594" s="68"/>
      <c r="B594" s="69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68"/>
    </row>
    <row r="595" spans="1:15" x14ac:dyDescent="0.25">
      <c r="A595" s="68"/>
      <c r="B595" s="69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68"/>
    </row>
    <row r="596" spans="1:15" x14ac:dyDescent="0.25">
      <c r="A596" s="68"/>
      <c r="B596" s="69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68"/>
    </row>
    <row r="597" spans="1:15" x14ac:dyDescent="0.25">
      <c r="A597" s="68"/>
      <c r="B597" s="69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68"/>
    </row>
    <row r="598" spans="1:15" x14ac:dyDescent="0.25">
      <c r="A598" s="68"/>
      <c r="B598" s="69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68"/>
    </row>
    <row r="599" spans="1:15" x14ac:dyDescent="0.25">
      <c r="A599" s="68"/>
      <c r="B599" s="69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68"/>
    </row>
    <row r="600" spans="1:15" x14ac:dyDescent="0.25">
      <c r="A600" s="68"/>
      <c r="B600" s="69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68"/>
    </row>
    <row r="601" spans="1:15" x14ac:dyDescent="0.25">
      <c r="A601" s="68"/>
      <c r="B601" s="69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68"/>
    </row>
    <row r="602" spans="1:15" x14ac:dyDescent="0.25">
      <c r="A602" s="68"/>
      <c r="B602" s="69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68"/>
    </row>
    <row r="603" spans="1:15" x14ac:dyDescent="0.25">
      <c r="A603" s="68"/>
      <c r="B603" s="69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68"/>
    </row>
    <row r="604" spans="1:15" x14ac:dyDescent="0.25">
      <c r="A604" s="68"/>
      <c r="B604" s="69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68"/>
    </row>
    <row r="605" spans="1:15" x14ac:dyDescent="0.25">
      <c r="A605" s="68"/>
      <c r="B605" s="69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68"/>
    </row>
    <row r="606" spans="1:15" x14ac:dyDescent="0.25">
      <c r="A606" s="68"/>
      <c r="B606" s="69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68"/>
    </row>
    <row r="607" spans="1:15" x14ac:dyDescent="0.25">
      <c r="A607" s="68"/>
      <c r="B607" s="69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68"/>
    </row>
    <row r="608" spans="1:15" x14ac:dyDescent="0.25">
      <c r="A608" s="68"/>
      <c r="B608" s="69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68"/>
    </row>
    <row r="609" spans="1:15" x14ac:dyDescent="0.25">
      <c r="A609" s="68"/>
      <c r="B609" s="69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68"/>
    </row>
    <row r="610" spans="1:15" x14ac:dyDescent="0.25">
      <c r="A610" s="68"/>
      <c r="B610" s="69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68"/>
    </row>
    <row r="611" spans="1:15" x14ac:dyDescent="0.25">
      <c r="A611" s="68"/>
      <c r="B611" s="69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68"/>
    </row>
    <row r="612" spans="1:15" x14ac:dyDescent="0.25">
      <c r="A612" s="68"/>
      <c r="B612" s="69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68"/>
    </row>
    <row r="613" spans="1:15" x14ac:dyDescent="0.25">
      <c r="A613" s="68"/>
      <c r="B613" s="69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68"/>
    </row>
    <row r="614" spans="1:15" x14ac:dyDescent="0.25">
      <c r="A614" s="68"/>
      <c r="B614" s="69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68"/>
    </row>
    <row r="615" spans="1:15" x14ac:dyDescent="0.25">
      <c r="A615" s="68"/>
      <c r="B615" s="69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68"/>
    </row>
    <row r="616" spans="1:15" x14ac:dyDescent="0.25">
      <c r="A616" s="68"/>
      <c r="B616" s="69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68"/>
    </row>
    <row r="617" spans="1:15" x14ac:dyDescent="0.25">
      <c r="A617" s="68"/>
      <c r="B617" s="69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68"/>
    </row>
    <row r="618" spans="1:15" x14ac:dyDescent="0.25">
      <c r="A618" s="68"/>
      <c r="B618" s="69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68"/>
    </row>
    <row r="619" spans="1:15" x14ac:dyDescent="0.25">
      <c r="A619" s="68"/>
      <c r="B619" s="69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68"/>
    </row>
    <row r="620" spans="1:15" x14ac:dyDescent="0.25">
      <c r="A620" s="68"/>
      <c r="B620" s="69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68"/>
    </row>
    <row r="621" spans="1:15" x14ac:dyDescent="0.25">
      <c r="A621" s="68"/>
      <c r="B621" s="69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68"/>
    </row>
    <row r="622" spans="1:15" x14ac:dyDescent="0.25">
      <c r="A622" s="68"/>
      <c r="B622" s="69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68"/>
    </row>
    <row r="623" spans="1:15" x14ac:dyDescent="0.25">
      <c r="A623" s="68"/>
      <c r="B623" s="69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68"/>
    </row>
    <row r="624" spans="1:15" x14ac:dyDescent="0.25">
      <c r="A624" s="68"/>
      <c r="B624" s="69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68"/>
    </row>
    <row r="625" spans="1:15" x14ac:dyDescent="0.25">
      <c r="A625" s="68"/>
      <c r="B625" s="69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68"/>
    </row>
    <row r="626" spans="1:15" x14ac:dyDescent="0.25">
      <c r="A626" s="68"/>
      <c r="B626" s="69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68"/>
    </row>
    <row r="627" spans="1:15" x14ac:dyDescent="0.25">
      <c r="A627" s="68"/>
      <c r="B627" s="69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68"/>
    </row>
    <row r="628" spans="1:15" x14ac:dyDescent="0.25">
      <c r="A628" s="68"/>
      <c r="B628" s="69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68"/>
    </row>
    <row r="629" spans="1:15" x14ac:dyDescent="0.25">
      <c r="A629" s="68"/>
      <c r="B629" s="69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68"/>
    </row>
    <row r="630" spans="1:15" x14ac:dyDescent="0.25">
      <c r="A630" s="68"/>
      <c r="B630" s="69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68"/>
    </row>
    <row r="631" spans="1:15" x14ac:dyDescent="0.25">
      <c r="A631" s="68"/>
      <c r="B631" s="69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68"/>
    </row>
    <row r="632" spans="1:15" x14ac:dyDescent="0.25">
      <c r="A632" s="68"/>
      <c r="B632" s="69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68"/>
    </row>
    <row r="633" spans="1:15" x14ac:dyDescent="0.25">
      <c r="A633" s="68"/>
      <c r="B633" s="69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68"/>
    </row>
    <row r="634" spans="1:15" x14ac:dyDescent="0.25">
      <c r="A634" s="68"/>
      <c r="B634" s="69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68"/>
    </row>
    <row r="635" spans="1:15" x14ac:dyDescent="0.25">
      <c r="A635" s="68"/>
      <c r="B635" s="69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68"/>
    </row>
    <row r="636" spans="1:15" x14ac:dyDescent="0.25">
      <c r="A636" s="68"/>
      <c r="B636" s="69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68"/>
    </row>
    <row r="637" spans="1:15" x14ac:dyDescent="0.25">
      <c r="A637" s="68"/>
      <c r="B637" s="69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68"/>
    </row>
    <row r="638" spans="1:15" x14ac:dyDescent="0.25">
      <c r="A638" s="68"/>
      <c r="B638" s="69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68"/>
    </row>
    <row r="639" spans="1:15" x14ac:dyDescent="0.25">
      <c r="A639" s="68"/>
      <c r="B639" s="69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68"/>
    </row>
    <row r="640" spans="1:15" x14ac:dyDescent="0.25">
      <c r="A640" s="68"/>
      <c r="B640" s="69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68"/>
    </row>
    <row r="641" spans="1:15" x14ac:dyDescent="0.25">
      <c r="A641" s="68"/>
      <c r="B641" s="69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68"/>
    </row>
    <row r="642" spans="1:15" x14ac:dyDescent="0.25">
      <c r="A642" s="68"/>
      <c r="B642" s="69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68"/>
    </row>
    <row r="643" spans="1:15" x14ac:dyDescent="0.25">
      <c r="A643" s="68"/>
      <c r="B643" s="69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68"/>
    </row>
    <row r="644" spans="1:15" x14ac:dyDescent="0.25">
      <c r="A644" s="68"/>
      <c r="B644" s="69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68"/>
    </row>
    <row r="645" spans="1:15" x14ac:dyDescent="0.25">
      <c r="A645" s="68"/>
      <c r="B645" s="69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68"/>
    </row>
    <row r="646" spans="1:15" x14ac:dyDescent="0.25">
      <c r="A646" s="68"/>
      <c r="B646" s="69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68"/>
    </row>
    <row r="647" spans="1:15" x14ac:dyDescent="0.25">
      <c r="A647" s="68"/>
      <c r="B647" s="69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68"/>
    </row>
    <row r="648" spans="1:15" x14ac:dyDescent="0.25">
      <c r="A648" s="68"/>
      <c r="B648" s="69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68"/>
    </row>
    <row r="649" spans="1:15" x14ac:dyDescent="0.25">
      <c r="A649" s="68"/>
      <c r="B649" s="69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68"/>
    </row>
    <row r="650" spans="1:15" x14ac:dyDescent="0.25">
      <c r="A650" s="68"/>
      <c r="B650" s="69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68"/>
    </row>
    <row r="651" spans="1:15" x14ac:dyDescent="0.25">
      <c r="A651" s="68"/>
      <c r="B651" s="69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68"/>
    </row>
    <row r="652" spans="1:15" x14ac:dyDescent="0.25">
      <c r="A652" s="68"/>
      <c r="B652" s="69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68"/>
    </row>
    <row r="653" spans="1:15" x14ac:dyDescent="0.25">
      <c r="A653" s="68"/>
      <c r="B653" s="69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68"/>
    </row>
    <row r="654" spans="1:15" x14ac:dyDescent="0.25">
      <c r="A654" s="68"/>
      <c r="B654" s="69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68"/>
    </row>
    <row r="655" spans="1:15" x14ac:dyDescent="0.25">
      <c r="A655" s="68"/>
      <c r="B655" s="69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68"/>
    </row>
    <row r="656" spans="1:15" x14ac:dyDescent="0.25">
      <c r="A656" s="68"/>
      <c r="B656" s="69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68"/>
    </row>
    <row r="657" spans="1:15" x14ac:dyDescent="0.25">
      <c r="A657" s="68"/>
      <c r="B657" s="69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68"/>
    </row>
    <row r="658" spans="1:15" x14ac:dyDescent="0.25">
      <c r="A658" s="68"/>
      <c r="B658" s="69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68"/>
    </row>
    <row r="659" spans="1:15" x14ac:dyDescent="0.25">
      <c r="A659" s="68"/>
      <c r="B659" s="69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68"/>
    </row>
    <row r="660" spans="1:15" x14ac:dyDescent="0.25">
      <c r="A660" s="68"/>
      <c r="B660" s="69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68"/>
    </row>
    <row r="661" spans="1:15" x14ac:dyDescent="0.25">
      <c r="A661" s="68"/>
      <c r="B661" s="69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68"/>
    </row>
    <row r="662" spans="1:15" x14ac:dyDescent="0.25">
      <c r="A662" s="68"/>
      <c r="B662" s="69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68"/>
    </row>
    <row r="663" spans="1:15" x14ac:dyDescent="0.25">
      <c r="A663" s="68"/>
      <c r="B663" s="69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68"/>
    </row>
    <row r="664" spans="1:15" x14ac:dyDescent="0.25">
      <c r="A664" s="68"/>
      <c r="B664" s="69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68"/>
    </row>
    <row r="665" spans="1:15" x14ac:dyDescent="0.25">
      <c r="A665" s="68"/>
      <c r="B665" s="69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68"/>
    </row>
    <row r="666" spans="1:15" x14ac:dyDescent="0.25">
      <c r="A666" s="68"/>
      <c r="B666" s="69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68"/>
    </row>
    <row r="667" spans="1:15" x14ac:dyDescent="0.25">
      <c r="A667" s="68"/>
      <c r="B667" s="69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68"/>
    </row>
    <row r="668" spans="1:15" x14ac:dyDescent="0.25">
      <c r="A668" s="68"/>
      <c r="B668" s="69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68"/>
    </row>
    <row r="669" spans="1:15" x14ac:dyDescent="0.25">
      <c r="A669" s="68"/>
      <c r="B669" s="69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68"/>
    </row>
    <row r="670" spans="1:15" x14ac:dyDescent="0.25">
      <c r="A670" s="68"/>
      <c r="B670" s="69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68"/>
    </row>
    <row r="671" spans="1:15" x14ac:dyDescent="0.25">
      <c r="A671" s="68"/>
      <c r="B671" s="69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68"/>
    </row>
    <row r="672" spans="1:15" x14ac:dyDescent="0.25">
      <c r="A672" s="68"/>
      <c r="B672" s="69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68"/>
    </row>
    <row r="673" spans="1:15" x14ac:dyDescent="0.25">
      <c r="A673" s="68"/>
      <c r="B673" s="69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68"/>
    </row>
    <row r="674" spans="1:15" x14ac:dyDescent="0.25">
      <c r="A674" s="68"/>
      <c r="B674" s="69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68"/>
    </row>
    <row r="675" spans="1:15" x14ac:dyDescent="0.25">
      <c r="A675" s="68"/>
      <c r="B675" s="69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68"/>
    </row>
    <row r="676" spans="1:15" x14ac:dyDescent="0.25">
      <c r="A676" s="68"/>
      <c r="B676" s="69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68"/>
    </row>
    <row r="677" spans="1:15" x14ac:dyDescent="0.25">
      <c r="A677" s="68"/>
      <c r="B677" s="69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68"/>
    </row>
    <row r="678" spans="1:15" x14ac:dyDescent="0.25">
      <c r="A678" s="68"/>
      <c r="B678" s="69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68"/>
    </row>
    <row r="679" spans="1:15" x14ac:dyDescent="0.25">
      <c r="A679" s="68"/>
      <c r="B679" s="69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68"/>
    </row>
    <row r="680" spans="1:15" x14ac:dyDescent="0.25">
      <c r="A680" s="68"/>
      <c r="B680" s="69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68"/>
    </row>
    <row r="681" spans="1:15" x14ac:dyDescent="0.25">
      <c r="A681" s="68"/>
      <c r="B681" s="69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68"/>
    </row>
    <row r="682" spans="1:15" x14ac:dyDescent="0.25">
      <c r="A682" s="68"/>
      <c r="B682" s="69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68"/>
    </row>
    <row r="683" spans="1:15" x14ac:dyDescent="0.25">
      <c r="A683" s="68"/>
      <c r="B683" s="69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68"/>
    </row>
    <row r="684" spans="1:15" x14ac:dyDescent="0.25">
      <c r="A684" s="68"/>
      <c r="B684" s="69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68"/>
    </row>
    <row r="685" spans="1:15" x14ac:dyDescent="0.25">
      <c r="A685" s="68"/>
      <c r="B685" s="69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68"/>
    </row>
    <row r="686" spans="1:15" x14ac:dyDescent="0.25">
      <c r="A686" s="68"/>
      <c r="B686" s="69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68"/>
    </row>
    <row r="687" spans="1:15" x14ac:dyDescent="0.25">
      <c r="A687" s="68"/>
      <c r="B687" s="69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68"/>
    </row>
    <row r="688" spans="1:15" x14ac:dyDescent="0.25">
      <c r="A688" s="68"/>
      <c r="B688" s="69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68"/>
    </row>
    <row r="689" spans="1:15" x14ac:dyDescent="0.25">
      <c r="A689" s="68"/>
      <c r="B689" s="69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68"/>
    </row>
    <row r="690" spans="1:15" x14ac:dyDescent="0.25">
      <c r="A690" s="68"/>
      <c r="B690" s="69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68"/>
    </row>
    <row r="691" spans="1:15" x14ac:dyDescent="0.25">
      <c r="A691" s="68"/>
      <c r="B691" s="69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68"/>
    </row>
    <row r="692" spans="1:15" x14ac:dyDescent="0.25">
      <c r="A692" s="68"/>
      <c r="B692" s="69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68"/>
    </row>
    <row r="693" spans="1:15" x14ac:dyDescent="0.25">
      <c r="A693" s="68"/>
      <c r="B693" s="69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68"/>
    </row>
    <row r="694" spans="1:15" x14ac:dyDescent="0.25">
      <c r="A694" s="68"/>
      <c r="B694" s="69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68"/>
    </row>
    <row r="695" spans="1:15" x14ac:dyDescent="0.25">
      <c r="A695" s="68"/>
      <c r="B695" s="69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68"/>
    </row>
    <row r="696" spans="1:15" x14ac:dyDescent="0.25">
      <c r="A696" s="68"/>
      <c r="B696" s="69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68"/>
    </row>
    <row r="697" spans="1:15" x14ac:dyDescent="0.25">
      <c r="A697" s="68"/>
      <c r="B697" s="69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68"/>
    </row>
    <row r="698" spans="1:15" x14ac:dyDescent="0.25">
      <c r="A698" s="68"/>
      <c r="B698" s="69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68"/>
    </row>
    <row r="699" spans="1:15" x14ac:dyDescent="0.25">
      <c r="A699" s="68"/>
      <c r="B699" s="69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68"/>
    </row>
    <row r="700" spans="1:15" x14ac:dyDescent="0.25">
      <c r="A700" s="68"/>
      <c r="B700" s="69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68"/>
    </row>
    <row r="701" spans="1:15" x14ac:dyDescent="0.25">
      <c r="A701" s="68"/>
      <c r="B701" s="69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68"/>
    </row>
    <row r="702" spans="1:15" x14ac:dyDescent="0.25">
      <c r="A702" s="68"/>
      <c r="B702" s="69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68"/>
    </row>
    <row r="703" spans="1:15" x14ac:dyDescent="0.25">
      <c r="A703" s="68"/>
      <c r="B703" s="69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68"/>
    </row>
    <row r="704" spans="1:15" x14ac:dyDescent="0.25">
      <c r="A704" s="68"/>
      <c r="B704" s="69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68"/>
    </row>
    <row r="705" spans="1:15" x14ac:dyDescent="0.25">
      <c r="A705" s="68"/>
      <c r="B705" s="69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68"/>
    </row>
    <row r="706" spans="1:15" x14ac:dyDescent="0.25">
      <c r="A706" s="68"/>
      <c r="B706" s="69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68"/>
    </row>
    <row r="707" spans="1:15" x14ac:dyDescent="0.25">
      <c r="A707" s="68"/>
      <c r="B707" s="69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68"/>
    </row>
    <row r="708" spans="1:15" x14ac:dyDescent="0.25">
      <c r="A708" s="68"/>
      <c r="B708" s="69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68"/>
    </row>
    <row r="709" spans="1:15" x14ac:dyDescent="0.25">
      <c r="A709" s="68"/>
      <c r="B709" s="69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68"/>
    </row>
    <row r="710" spans="1:15" x14ac:dyDescent="0.25">
      <c r="A710" s="68"/>
      <c r="B710" s="69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68"/>
    </row>
    <row r="711" spans="1:15" x14ac:dyDescent="0.25">
      <c r="A711" s="68"/>
      <c r="B711" s="69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68"/>
    </row>
    <row r="712" spans="1:15" x14ac:dyDescent="0.25">
      <c r="A712" s="68"/>
      <c r="B712" s="69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68"/>
    </row>
    <row r="713" spans="1:15" x14ac:dyDescent="0.25">
      <c r="A713" s="68"/>
      <c r="B713" s="69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68"/>
    </row>
    <row r="714" spans="1:15" x14ac:dyDescent="0.25">
      <c r="A714" s="68"/>
      <c r="B714" s="69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68"/>
    </row>
    <row r="715" spans="1:15" x14ac:dyDescent="0.25">
      <c r="A715" s="68"/>
      <c r="B715" s="69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68"/>
    </row>
    <row r="716" spans="1:15" x14ac:dyDescent="0.25">
      <c r="A716" s="68"/>
      <c r="B716" s="69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68"/>
    </row>
    <row r="717" spans="1:15" x14ac:dyDescent="0.25">
      <c r="A717" s="68"/>
      <c r="B717" s="69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68"/>
    </row>
    <row r="718" spans="1:15" x14ac:dyDescent="0.25">
      <c r="A718" s="68"/>
      <c r="B718" s="69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68"/>
    </row>
    <row r="719" spans="1:15" x14ac:dyDescent="0.25">
      <c r="A719" s="68"/>
      <c r="B719" s="69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68"/>
    </row>
    <row r="720" spans="1:15" x14ac:dyDescent="0.25">
      <c r="A720" s="68"/>
      <c r="B720" s="69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68"/>
    </row>
    <row r="721" spans="1:15" x14ac:dyDescent="0.25">
      <c r="A721" s="68"/>
      <c r="B721" s="69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68"/>
    </row>
    <row r="722" spans="1:15" x14ac:dyDescent="0.25">
      <c r="A722" s="68"/>
      <c r="B722" s="69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68"/>
    </row>
    <row r="723" spans="1:15" x14ac:dyDescent="0.25">
      <c r="A723" s="68"/>
      <c r="B723" s="69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68"/>
    </row>
    <row r="724" spans="1:15" x14ac:dyDescent="0.25">
      <c r="A724" s="68"/>
      <c r="B724" s="69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68"/>
    </row>
    <row r="725" spans="1:15" x14ac:dyDescent="0.25">
      <c r="A725" s="68"/>
      <c r="B725" s="69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68"/>
    </row>
    <row r="726" spans="1:15" x14ac:dyDescent="0.25">
      <c r="A726" s="68"/>
      <c r="B726" s="69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68"/>
    </row>
    <row r="727" spans="1:15" x14ac:dyDescent="0.25">
      <c r="A727" s="68"/>
      <c r="B727" s="69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68"/>
    </row>
    <row r="728" spans="1:15" x14ac:dyDescent="0.25">
      <c r="A728" s="68"/>
      <c r="B728" s="69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68"/>
    </row>
    <row r="729" spans="1:15" x14ac:dyDescent="0.25">
      <c r="A729" s="68"/>
      <c r="B729" s="69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68"/>
    </row>
    <row r="730" spans="1:15" x14ac:dyDescent="0.25">
      <c r="A730" s="68"/>
      <c r="B730" s="69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68"/>
    </row>
    <row r="731" spans="1:15" x14ac:dyDescent="0.25">
      <c r="A731" s="68"/>
      <c r="B731" s="69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68"/>
    </row>
    <row r="732" spans="1:15" x14ac:dyDescent="0.25">
      <c r="A732" s="68"/>
      <c r="B732" s="69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68"/>
    </row>
    <row r="733" spans="1:15" x14ac:dyDescent="0.25">
      <c r="A733" s="68"/>
      <c r="B733" s="69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68"/>
    </row>
    <row r="734" spans="1:15" x14ac:dyDescent="0.25">
      <c r="A734" s="68"/>
      <c r="B734" s="69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68"/>
    </row>
    <row r="735" spans="1:15" x14ac:dyDescent="0.25">
      <c r="A735" s="68"/>
      <c r="B735" s="69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68"/>
    </row>
    <row r="736" spans="1:15" x14ac:dyDescent="0.25">
      <c r="A736" s="68"/>
      <c r="B736" s="69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68"/>
    </row>
    <row r="737" spans="1:15" x14ac:dyDescent="0.25">
      <c r="A737" s="68"/>
      <c r="B737" s="69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68"/>
    </row>
    <row r="738" spans="1:15" x14ac:dyDescent="0.25">
      <c r="A738" s="68"/>
      <c r="B738" s="69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68"/>
    </row>
    <row r="739" spans="1:15" x14ac:dyDescent="0.25">
      <c r="A739" s="68"/>
      <c r="B739" s="69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68"/>
    </row>
    <row r="740" spans="1:15" x14ac:dyDescent="0.25">
      <c r="A740" s="68"/>
      <c r="B740" s="69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68"/>
    </row>
    <row r="741" spans="1:15" x14ac:dyDescent="0.25">
      <c r="A741" s="68"/>
      <c r="B741" s="69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68"/>
    </row>
    <row r="742" spans="1:15" x14ac:dyDescent="0.25">
      <c r="A742" s="68"/>
      <c r="B742" s="69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68"/>
    </row>
    <row r="743" spans="1:15" x14ac:dyDescent="0.25">
      <c r="A743" s="68"/>
      <c r="B743" s="69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68"/>
    </row>
    <row r="744" spans="1:15" x14ac:dyDescent="0.25">
      <c r="A744" s="68"/>
      <c r="B744" s="69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68"/>
    </row>
    <row r="745" spans="1:15" x14ac:dyDescent="0.25">
      <c r="A745" s="68"/>
      <c r="B745" s="69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68"/>
    </row>
    <row r="746" spans="1:15" x14ac:dyDescent="0.25">
      <c r="A746" s="68"/>
      <c r="B746" s="69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68"/>
    </row>
    <row r="747" spans="1:15" x14ac:dyDescent="0.25">
      <c r="A747" s="68"/>
      <c r="B747" s="69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68"/>
    </row>
    <row r="748" spans="1:15" x14ac:dyDescent="0.25">
      <c r="A748" s="68"/>
      <c r="B748" s="69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68"/>
    </row>
    <row r="749" spans="1:15" x14ac:dyDescent="0.25">
      <c r="A749" s="68"/>
      <c r="B749" s="69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68"/>
    </row>
    <row r="750" spans="1:15" x14ac:dyDescent="0.25">
      <c r="A750" s="68"/>
      <c r="B750" s="69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68"/>
    </row>
    <row r="751" spans="1:15" x14ac:dyDescent="0.25">
      <c r="A751" s="68"/>
      <c r="B751" s="69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68"/>
    </row>
    <row r="752" spans="1:15" x14ac:dyDescent="0.25">
      <c r="A752" s="68"/>
      <c r="B752" s="69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68"/>
    </row>
    <row r="753" spans="1:15" x14ac:dyDescent="0.25">
      <c r="A753" s="68"/>
      <c r="B753" s="69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68"/>
    </row>
    <row r="754" spans="1:15" x14ac:dyDescent="0.25">
      <c r="A754" s="68"/>
      <c r="B754" s="69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68"/>
    </row>
    <row r="755" spans="1:15" x14ac:dyDescent="0.25">
      <c r="A755" s="68"/>
      <c r="B755" s="69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68"/>
    </row>
    <row r="756" spans="1:15" x14ac:dyDescent="0.25">
      <c r="A756" s="68"/>
      <c r="B756" s="69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68"/>
    </row>
    <row r="757" spans="1:15" x14ac:dyDescent="0.25">
      <c r="A757" s="68"/>
      <c r="B757" s="69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68"/>
    </row>
    <row r="758" spans="1:15" x14ac:dyDescent="0.25">
      <c r="A758" s="68"/>
      <c r="B758" s="69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68"/>
    </row>
    <row r="759" spans="1:15" x14ac:dyDescent="0.25">
      <c r="A759" s="68"/>
      <c r="B759" s="69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68"/>
    </row>
    <row r="760" spans="1:15" x14ac:dyDescent="0.25">
      <c r="A760" s="68"/>
      <c r="B760" s="69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68"/>
    </row>
    <row r="761" spans="1:15" x14ac:dyDescent="0.25">
      <c r="A761" s="68"/>
      <c r="B761" s="69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68"/>
    </row>
    <row r="762" spans="1:15" x14ac:dyDescent="0.25">
      <c r="A762" s="68"/>
      <c r="B762" s="69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68"/>
    </row>
    <row r="763" spans="1:15" x14ac:dyDescent="0.25">
      <c r="A763" s="68"/>
      <c r="B763" s="69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68"/>
    </row>
    <row r="764" spans="1:15" x14ac:dyDescent="0.25">
      <c r="A764" s="68"/>
      <c r="B764" s="69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68"/>
    </row>
    <row r="765" spans="1:15" x14ac:dyDescent="0.25">
      <c r="A765" s="68"/>
      <c r="B765" s="69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68"/>
    </row>
    <row r="766" spans="1:15" x14ac:dyDescent="0.25">
      <c r="A766" s="68"/>
      <c r="B766" s="69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68"/>
    </row>
    <row r="767" spans="1:15" x14ac:dyDescent="0.25">
      <c r="A767" s="68"/>
      <c r="B767" s="69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68"/>
    </row>
    <row r="768" spans="1:15" x14ac:dyDescent="0.25">
      <c r="A768" s="68"/>
      <c r="B768" s="69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68"/>
    </row>
    <row r="769" spans="1:15" x14ac:dyDescent="0.25">
      <c r="A769" s="68"/>
      <c r="B769" s="69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68"/>
    </row>
    <row r="770" spans="1:15" x14ac:dyDescent="0.25">
      <c r="A770" s="68"/>
      <c r="B770" s="69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68"/>
    </row>
    <row r="771" spans="1:15" x14ac:dyDescent="0.25">
      <c r="A771" s="68"/>
      <c r="B771" s="69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68"/>
    </row>
    <row r="772" spans="1:15" x14ac:dyDescent="0.25">
      <c r="A772" s="68"/>
      <c r="B772" s="69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68"/>
    </row>
    <row r="773" spans="1:15" x14ac:dyDescent="0.25">
      <c r="A773" s="68"/>
      <c r="B773" s="69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68"/>
    </row>
    <row r="774" spans="1:15" x14ac:dyDescent="0.25">
      <c r="A774" s="68"/>
      <c r="B774" s="69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68"/>
    </row>
    <row r="775" spans="1:15" x14ac:dyDescent="0.25">
      <c r="A775" s="68"/>
      <c r="B775" s="69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68"/>
    </row>
    <row r="776" spans="1:15" x14ac:dyDescent="0.25">
      <c r="A776" s="68"/>
      <c r="B776" s="69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68"/>
    </row>
    <row r="777" spans="1:15" x14ac:dyDescent="0.25">
      <c r="A777" s="68"/>
      <c r="B777" s="69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68"/>
    </row>
    <row r="778" spans="1:15" x14ac:dyDescent="0.25">
      <c r="A778" s="68"/>
      <c r="B778" s="69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68"/>
    </row>
    <row r="779" spans="1:15" x14ac:dyDescent="0.25">
      <c r="A779" s="68"/>
      <c r="B779" s="69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68"/>
    </row>
    <row r="780" spans="1:15" x14ac:dyDescent="0.25">
      <c r="A780" s="68"/>
      <c r="B780" s="69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68"/>
    </row>
    <row r="781" spans="1:15" x14ac:dyDescent="0.25">
      <c r="A781" s="68"/>
      <c r="B781" s="69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68"/>
    </row>
    <row r="782" spans="1:15" x14ac:dyDescent="0.25">
      <c r="A782" s="68"/>
      <c r="B782" s="69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68"/>
    </row>
    <row r="783" spans="1:15" x14ac:dyDescent="0.25">
      <c r="A783" s="68"/>
      <c r="B783" s="69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68"/>
    </row>
    <row r="784" spans="1:15" x14ac:dyDescent="0.25">
      <c r="A784" s="68"/>
      <c r="B784" s="69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68"/>
    </row>
    <row r="785" spans="1:15" x14ac:dyDescent="0.25">
      <c r="A785" s="68"/>
      <c r="B785" s="69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68"/>
    </row>
    <row r="786" spans="1:15" x14ac:dyDescent="0.25">
      <c r="A786" s="68"/>
      <c r="B786" s="69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68"/>
    </row>
    <row r="787" spans="1:15" x14ac:dyDescent="0.25">
      <c r="A787" s="68"/>
      <c r="B787" s="69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68"/>
    </row>
    <row r="788" spans="1:15" x14ac:dyDescent="0.25">
      <c r="A788" s="68"/>
      <c r="B788" s="69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68"/>
    </row>
    <row r="789" spans="1:15" x14ac:dyDescent="0.25">
      <c r="A789" s="68"/>
      <c r="B789" s="69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68"/>
    </row>
    <row r="790" spans="1:15" x14ac:dyDescent="0.25">
      <c r="A790" s="68"/>
      <c r="B790" s="69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68"/>
    </row>
    <row r="791" spans="1:15" x14ac:dyDescent="0.25">
      <c r="A791" s="68"/>
      <c r="B791" s="69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68"/>
    </row>
    <row r="792" spans="1:15" x14ac:dyDescent="0.25">
      <c r="A792" s="68"/>
      <c r="B792" s="69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68"/>
    </row>
    <row r="793" spans="1:15" x14ac:dyDescent="0.25">
      <c r="A793" s="68"/>
      <c r="B793" s="69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68"/>
    </row>
    <row r="794" spans="1:15" x14ac:dyDescent="0.25">
      <c r="A794" s="68"/>
      <c r="B794" s="69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68"/>
    </row>
    <row r="795" spans="1:15" x14ac:dyDescent="0.25">
      <c r="A795" s="68"/>
      <c r="B795" s="69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68"/>
    </row>
    <row r="796" spans="1:15" x14ac:dyDescent="0.25">
      <c r="A796" s="68"/>
      <c r="B796" s="69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68"/>
    </row>
    <row r="797" spans="1:15" x14ac:dyDescent="0.25">
      <c r="A797" s="68"/>
      <c r="B797" s="69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68"/>
    </row>
    <row r="798" spans="1:15" x14ac:dyDescent="0.25">
      <c r="A798" s="68"/>
      <c r="B798" s="69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68"/>
    </row>
    <row r="799" spans="1:15" x14ac:dyDescent="0.25">
      <c r="A799" s="68"/>
      <c r="B799" s="69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68"/>
    </row>
    <row r="800" spans="1:15" x14ac:dyDescent="0.25">
      <c r="A800" s="68"/>
      <c r="B800" s="69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68"/>
    </row>
    <row r="801" spans="1:15" x14ac:dyDescent="0.25">
      <c r="A801" s="68"/>
      <c r="B801" s="69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68"/>
    </row>
    <row r="802" spans="1:15" x14ac:dyDescent="0.25">
      <c r="A802" s="68"/>
      <c r="B802" s="69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68"/>
    </row>
    <row r="803" spans="1:15" x14ac:dyDescent="0.25">
      <c r="A803" s="68"/>
      <c r="B803" s="69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68"/>
    </row>
    <row r="804" spans="1:15" x14ac:dyDescent="0.25">
      <c r="A804" s="68"/>
      <c r="B804" s="69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68"/>
    </row>
    <row r="805" spans="1:15" x14ac:dyDescent="0.25">
      <c r="A805" s="68"/>
      <c r="B805" s="69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68"/>
    </row>
    <row r="806" spans="1:15" x14ac:dyDescent="0.25">
      <c r="A806" s="68"/>
      <c r="B806" s="69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68"/>
    </row>
    <row r="807" spans="1:15" x14ac:dyDescent="0.25">
      <c r="A807" s="68"/>
      <c r="B807" s="69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68"/>
    </row>
    <row r="808" spans="1:15" x14ac:dyDescent="0.25">
      <c r="A808" s="68"/>
      <c r="B808" s="69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68"/>
    </row>
    <row r="809" spans="1:15" x14ac:dyDescent="0.25">
      <c r="A809" s="68"/>
      <c r="B809" s="69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68"/>
    </row>
    <row r="810" spans="1:15" x14ac:dyDescent="0.25">
      <c r="A810" s="68"/>
      <c r="B810" s="69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68"/>
    </row>
    <row r="811" spans="1:15" x14ac:dyDescent="0.25">
      <c r="A811" s="68"/>
      <c r="B811" s="69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68"/>
    </row>
    <row r="812" spans="1:15" x14ac:dyDescent="0.25">
      <c r="A812" s="68"/>
      <c r="B812" s="69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68"/>
    </row>
    <row r="813" spans="1:15" x14ac:dyDescent="0.25">
      <c r="A813" s="68"/>
      <c r="B813" s="69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68"/>
    </row>
    <row r="814" spans="1:15" x14ac:dyDescent="0.25">
      <c r="A814" s="68"/>
      <c r="B814" s="69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68"/>
    </row>
    <row r="815" spans="1:15" x14ac:dyDescent="0.25">
      <c r="A815" s="68"/>
      <c r="B815" s="69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68"/>
    </row>
    <row r="816" spans="1:15" x14ac:dyDescent="0.25">
      <c r="A816" s="68"/>
      <c r="B816" s="69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68"/>
    </row>
    <row r="817" spans="1:15" x14ac:dyDescent="0.25">
      <c r="A817" s="68"/>
      <c r="B817" s="69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68"/>
    </row>
    <row r="818" spans="1:15" x14ac:dyDescent="0.25">
      <c r="A818" s="68"/>
      <c r="B818" s="69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68"/>
    </row>
    <row r="819" spans="1:15" x14ac:dyDescent="0.25">
      <c r="A819" s="68"/>
      <c r="B819" s="69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68"/>
    </row>
    <row r="820" spans="1:15" x14ac:dyDescent="0.25">
      <c r="A820" s="68"/>
      <c r="B820" s="69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68"/>
    </row>
    <row r="821" spans="1:15" x14ac:dyDescent="0.25">
      <c r="A821" s="68"/>
      <c r="B821" s="69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68"/>
    </row>
    <row r="822" spans="1:15" x14ac:dyDescent="0.25">
      <c r="A822" s="68"/>
      <c r="B822" s="69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68"/>
    </row>
    <row r="823" spans="1:15" x14ac:dyDescent="0.25">
      <c r="A823" s="68"/>
      <c r="B823" s="69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68"/>
    </row>
    <row r="824" spans="1:15" x14ac:dyDescent="0.25">
      <c r="A824" s="68"/>
      <c r="B824" s="69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68"/>
    </row>
    <row r="825" spans="1:15" x14ac:dyDescent="0.25">
      <c r="A825" s="68"/>
      <c r="B825" s="69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68"/>
    </row>
    <row r="826" spans="1:15" x14ac:dyDescent="0.25">
      <c r="A826" s="68"/>
      <c r="B826" s="69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68"/>
    </row>
    <row r="827" spans="1:15" x14ac:dyDescent="0.25">
      <c r="A827" s="68"/>
      <c r="B827" s="69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68"/>
    </row>
    <row r="828" spans="1:15" x14ac:dyDescent="0.25">
      <c r="A828" s="68"/>
      <c r="B828" s="69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68"/>
    </row>
    <row r="829" spans="1:15" x14ac:dyDescent="0.25">
      <c r="A829" s="68"/>
      <c r="B829" s="69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68"/>
    </row>
    <row r="830" spans="1:15" x14ac:dyDescent="0.25">
      <c r="A830" s="68"/>
      <c r="B830" s="69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68"/>
    </row>
    <row r="831" spans="1:15" x14ac:dyDescent="0.25">
      <c r="A831" s="68"/>
      <c r="B831" s="69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68"/>
    </row>
    <row r="832" spans="1:15" x14ac:dyDescent="0.25">
      <c r="A832" s="68"/>
      <c r="B832" s="69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68"/>
    </row>
    <row r="833" spans="1:15" x14ac:dyDescent="0.25">
      <c r="A833" s="68"/>
      <c r="B833" s="69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68"/>
    </row>
    <row r="834" spans="1:15" x14ac:dyDescent="0.25">
      <c r="A834" s="68"/>
      <c r="B834" s="69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68"/>
    </row>
    <row r="835" spans="1:15" x14ac:dyDescent="0.25">
      <c r="A835" s="68"/>
      <c r="B835" s="69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68"/>
    </row>
    <row r="836" spans="1:15" x14ac:dyDescent="0.25">
      <c r="A836" s="68"/>
      <c r="B836" s="69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68"/>
    </row>
    <row r="837" spans="1:15" x14ac:dyDescent="0.25">
      <c r="A837" s="68"/>
      <c r="B837" s="69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68"/>
    </row>
    <row r="838" spans="1:15" x14ac:dyDescent="0.25">
      <c r="A838" s="68"/>
      <c r="B838" s="69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68"/>
    </row>
    <row r="839" spans="1:15" x14ac:dyDescent="0.25">
      <c r="A839" s="68"/>
      <c r="B839" s="69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68"/>
    </row>
    <row r="840" spans="1:15" x14ac:dyDescent="0.25">
      <c r="A840" s="68"/>
      <c r="B840" s="69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68"/>
    </row>
    <row r="841" spans="1:15" x14ac:dyDescent="0.25">
      <c r="A841" s="68"/>
      <c r="B841" s="69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68"/>
    </row>
    <row r="842" spans="1:15" x14ac:dyDescent="0.25">
      <c r="A842" s="68"/>
      <c r="B842" s="69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68"/>
    </row>
    <row r="843" spans="1:15" x14ac:dyDescent="0.25">
      <c r="A843" s="68"/>
      <c r="B843" s="69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68"/>
    </row>
    <row r="844" spans="1:15" x14ac:dyDescent="0.25">
      <c r="A844" s="68"/>
      <c r="B844" s="69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68"/>
    </row>
    <row r="845" spans="1:15" x14ac:dyDescent="0.25">
      <c r="A845" s="68"/>
      <c r="B845" s="69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68"/>
    </row>
    <row r="846" spans="1:15" x14ac:dyDescent="0.25">
      <c r="A846" s="68"/>
      <c r="B846" s="69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68"/>
    </row>
    <row r="847" spans="1:15" x14ac:dyDescent="0.25">
      <c r="A847" s="68"/>
      <c r="B847" s="69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68"/>
    </row>
    <row r="848" spans="1:15" x14ac:dyDescent="0.25">
      <c r="A848" s="68"/>
      <c r="B848" s="69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68"/>
    </row>
    <row r="849" spans="1:15" x14ac:dyDescent="0.25">
      <c r="A849" s="68"/>
      <c r="B849" s="69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68"/>
    </row>
    <row r="850" spans="1:15" x14ac:dyDescent="0.25">
      <c r="A850" s="68"/>
      <c r="B850" s="69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68"/>
    </row>
    <row r="851" spans="1:15" x14ac:dyDescent="0.25">
      <c r="A851" s="68"/>
      <c r="B851" s="69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68"/>
    </row>
    <row r="852" spans="1:15" x14ac:dyDescent="0.25">
      <c r="A852" s="68"/>
      <c r="B852" s="69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68"/>
    </row>
    <row r="853" spans="1:15" x14ac:dyDescent="0.25">
      <c r="A853" s="68"/>
      <c r="B853" s="69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68"/>
    </row>
    <row r="854" spans="1:15" x14ac:dyDescent="0.25">
      <c r="A854" s="68"/>
      <c r="B854" s="69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68"/>
    </row>
    <row r="855" spans="1:15" x14ac:dyDescent="0.25">
      <c r="A855" s="68"/>
      <c r="B855" s="69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68"/>
    </row>
    <row r="856" spans="1:15" x14ac:dyDescent="0.25">
      <c r="A856" s="68"/>
      <c r="B856" s="69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68"/>
    </row>
    <row r="857" spans="1:15" x14ac:dyDescent="0.25">
      <c r="A857" s="68"/>
      <c r="B857" s="69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68"/>
    </row>
    <row r="858" spans="1:15" x14ac:dyDescent="0.25">
      <c r="A858" s="68"/>
      <c r="B858" s="69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68"/>
    </row>
    <row r="859" spans="1:15" x14ac:dyDescent="0.25">
      <c r="A859" s="68"/>
      <c r="B859" s="69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68"/>
    </row>
    <row r="860" spans="1:15" x14ac:dyDescent="0.25">
      <c r="A860" s="68"/>
      <c r="B860" s="69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68"/>
    </row>
    <row r="861" spans="1:15" x14ac:dyDescent="0.25">
      <c r="A861" s="68"/>
      <c r="B861" s="69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68"/>
    </row>
    <row r="862" spans="1:15" x14ac:dyDescent="0.25">
      <c r="A862" s="68"/>
      <c r="B862" s="69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68"/>
    </row>
    <row r="863" spans="1:15" x14ac:dyDescent="0.25">
      <c r="A863" s="68"/>
      <c r="B863" s="69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68"/>
    </row>
    <row r="864" spans="1:15" x14ac:dyDescent="0.25">
      <c r="A864" s="68"/>
      <c r="B864" s="69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68"/>
    </row>
    <row r="865" spans="1:15" x14ac:dyDescent="0.25">
      <c r="A865" s="68"/>
      <c r="B865" s="69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68"/>
    </row>
    <row r="866" spans="1:15" x14ac:dyDescent="0.25">
      <c r="A866" s="68"/>
      <c r="B866" s="69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68"/>
    </row>
    <row r="867" spans="1:15" x14ac:dyDescent="0.25">
      <c r="A867" s="68"/>
      <c r="B867" s="69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68"/>
    </row>
    <row r="868" spans="1:15" x14ac:dyDescent="0.25">
      <c r="A868" s="68"/>
      <c r="B868" s="69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68"/>
    </row>
    <row r="869" spans="1:15" x14ac:dyDescent="0.25">
      <c r="A869" s="68"/>
      <c r="B869" s="69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68"/>
    </row>
    <row r="870" spans="1:15" x14ac:dyDescent="0.25">
      <c r="A870" s="68"/>
      <c r="B870" s="69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68"/>
    </row>
    <row r="871" spans="1:15" x14ac:dyDescent="0.25">
      <c r="A871" s="68"/>
      <c r="B871" s="69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68"/>
    </row>
    <row r="872" spans="1:15" x14ac:dyDescent="0.25">
      <c r="A872" s="68"/>
      <c r="B872" s="69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68"/>
    </row>
    <row r="873" spans="1:15" x14ac:dyDescent="0.25">
      <c r="A873" s="68"/>
      <c r="B873" s="69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68"/>
    </row>
    <row r="874" spans="1:15" x14ac:dyDescent="0.25">
      <c r="A874" s="68"/>
      <c r="B874" s="69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68"/>
    </row>
    <row r="875" spans="1:15" x14ac:dyDescent="0.25">
      <c r="A875" s="68"/>
      <c r="B875" s="69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68"/>
    </row>
    <row r="876" spans="1:15" x14ac:dyDescent="0.25">
      <c r="A876" s="68"/>
      <c r="B876" s="69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68"/>
    </row>
    <row r="877" spans="1:15" x14ac:dyDescent="0.25">
      <c r="A877" s="68"/>
      <c r="B877" s="69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68"/>
    </row>
    <row r="878" spans="1:15" x14ac:dyDescent="0.25">
      <c r="A878" s="68"/>
      <c r="B878" s="69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68"/>
    </row>
    <row r="879" spans="1:15" x14ac:dyDescent="0.25">
      <c r="A879" s="68"/>
      <c r="B879" s="69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68"/>
    </row>
    <row r="880" spans="1:15" x14ac:dyDescent="0.25">
      <c r="A880" s="68"/>
      <c r="B880" s="69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68"/>
    </row>
    <row r="881" spans="1:15" x14ac:dyDescent="0.25">
      <c r="A881" s="68"/>
      <c r="B881" s="69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68"/>
    </row>
    <row r="882" spans="1:15" x14ac:dyDescent="0.25">
      <c r="A882" s="68"/>
      <c r="B882" s="69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68"/>
    </row>
    <row r="883" spans="1:15" x14ac:dyDescent="0.25">
      <c r="A883" s="68"/>
      <c r="B883" s="69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68"/>
    </row>
    <row r="884" spans="1:15" x14ac:dyDescent="0.25">
      <c r="A884" s="68"/>
      <c r="B884" s="69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68"/>
    </row>
    <row r="885" spans="1:15" x14ac:dyDescent="0.25">
      <c r="A885" s="68"/>
      <c r="B885" s="69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68"/>
    </row>
    <row r="886" spans="1:15" x14ac:dyDescent="0.25">
      <c r="A886" s="68"/>
      <c r="B886" s="69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68"/>
    </row>
    <row r="887" spans="1:15" x14ac:dyDescent="0.25">
      <c r="A887" s="68"/>
      <c r="B887" s="69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68"/>
    </row>
    <row r="888" spans="1:15" x14ac:dyDescent="0.25">
      <c r="A888" s="68"/>
      <c r="B888" s="69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68"/>
    </row>
    <row r="889" spans="1:15" x14ac:dyDescent="0.25">
      <c r="A889" s="68"/>
      <c r="B889" s="69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68"/>
    </row>
    <row r="890" spans="1:15" x14ac:dyDescent="0.25">
      <c r="A890" s="68"/>
      <c r="B890" s="69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68"/>
    </row>
    <row r="891" spans="1:15" x14ac:dyDescent="0.25">
      <c r="A891" s="68"/>
      <c r="B891" s="69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68"/>
    </row>
    <row r="892" spans="1:15" x14ac:dyDescent="0.25">
      <c r="A892" s="68"/>
      <c r="B892" s="69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68"/>
    </row>
    <row r="893" spans="1:15" x14ac:dyDescent="0.25">
      <c r="A893" s="68"/>
      <c r="B893" s="69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68"/>
    </row>
    <row r="894" spans="1:15" x14ac:dyDescent="0.25">
      <c r="A894" s="68"/>
      <c r="B894" s="69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68"/>
    </row>
    <row r="895" spans="1:15" x14ac:dyDescent="0.25">
      <c r="A895" s="68"/>
      <c r="B895" s="69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68"/>
    </row>
    <row r="896" spans="1:15" x14ac:dyDescent="0.25">
      <c r="A896" s="68"/>
      <c r="B896" s="69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68"/>
    </row>
    <row r="897" spans="1:15" x14ac:dyDescent="0.25">
      <c r="A897" s="68"/>
      <c r="B897" s="69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68"/>
    </row>
    <row r="898" spans="1:15" x14ac:dyDescent="0.25">
      <c r="A898" s="68"/>
      <c r="B898" s="69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68"/>
    </row>
    <row r="899" spans="1:15" x14ac:dyDescent="0.25">
      <c r="A899" s="68"/>
      <c r="B899" s="69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68"/>
    </row>
    <row r="900" spans="1:15" x14ac:dyDescent="0.25">
      <c r="A900" s="68"/>
      <c r="B900" s="69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68"/>
    </row>
    <row r="901" spans="1:15" x14ac:dyDescent="0.25">
      <c r="A901" s="68"/>
      <c r="B901" s="69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68"/>
    </row>
    <row r="902" spans="1:15" x14ac:dyDescent="0.25">
      <c r="A902" s="68"/>
      <c r="B902" s="69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68"/>
    </row>
    <row r="903" spans="1:15" x14ac:dyDescent="0.25">
      <c r="A903" s="68"/>
      <c r="B903" s="69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68"/>
    </row>
    <row r="904" spans="1:15" x14ac:dyDescent="0.25">
      <c r="A904" s="68"/>
      <c r="B904" s="69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68"/>
    </row>
    <row r="905" spans="1:15" x14ac:dyDescent="0.25">
      <c r="A905" s="68"/>
      <c r="B905" s="69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68"/>
    </row>
    <row r="906" spans="1:15" x14ac:dyDescent="0.25">
      <c r="A906" s="68"/>
      <c r="B906" s="69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68"/>
    </row>
    <row r="907" spans="1:15" x14ac:dyDescent="0.25">
      <c r="A907" s="68"/>
      <c r="B907" s="69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68"/>
    </row>
    <row r="908" spans="1:15" x14ac:dyDescent="0.25">
      <c r="A908" s="68"/>
      <c r="B908" s="69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68"/>
    </row>
    <row r="909" spans="1:15" x14ac:dyDescent="0.25">
      <c r="A909" s="68"/>
      <c r="B909" s="69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68"/>
    </row>
    <row r="910" spans="1:15" x14ac:dyDescent="0.25">
      <c r="A910" s="68"/>
      <c r="B910" s="69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68"/>
    </row>
    <row r="911" spans="1:15" x14ac:dyDescent="0.25">
      <c r="A911" s="68"/>
      <c r="B911" s="69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68"/>
    </row>
    <row r="912" spans="1:15" x14ac:dyDescent="0.25">
      <c r="A912" s="68"/>
      <c r="B912" s="69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68"/>
    </row>
    <row r="913" spans="1:15" x14ac:dyDescent="0.25">
      <c r="A913" s="68"/>
      <c r="B913" s="69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68"/>
    </row>
    <row r="914" spans="1:15" x14ac:dyDescent="0.25">
      <c r="A914" s="68"/>
      <c r="B914" s="69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68"/>
    </row>
    <row r="915" spans="1:15" x14ac:dyDescent="0.25">
      <c r="A915" s="68"/>
      <c r="B915" s="69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68"/>
    </row>
    <row r="916" spans="1:15" x14ac:dyDescent="0.25">
      <c r="A916" s="68"/>
      <c r="B916" s="69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68"/>
    </row>
    <row r="917" spans="1:15" x14ac:dyDescent="0.25">
      <c r="A917" s="68"/>
      <c r="B917" s="69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68"/>
    </row>
    <row r="918" spans="1:15" x14ac:dyDescent="0.25">
      <c r="A918" s="68"/>
      <c r="B918" s="69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68"/>
    </row>
    <row r="919" spans="1:15" x14ac:dyDescent="0.25">
      <c r="A919" s="68"/>
      <c r="B919" s="69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68"/>
    </row>
    <row r="920" spans="1:15" x14ac:dyDescent="0.25">
      <c r="A920" s="68"/>
      <c r="B920" s="69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68"/>
    </row>
    <row r="921" spans="1:15" x14ac:dyDescent="0.25">
      <c r="A921" s="68"/>
      <c r="B921" s="69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68"/>
    </row>
    <row r="922" spans="1:15" x14ac:dyDescent="0.25">
      <c r="A922" s="68"/>
      <c r="B922" s="69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68"/>
    </row>
    <row r="923" spans="1:15" x14ac:dyDescent="0.25">
      <c r="A923" s="68"/>
      <c r="B923" s="69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68"/>
    </row>
    <row r="924" spans="1:15" x14ac:dyDescent="0.25">
      <c r="A924" s="68"/>
      <c r="B924" s="69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68"/>
    </row>
    <row r="925" spans="1:15" x14ac:dyDescent="0.25">
      <c r="A925" s="68"/>
      <c r="B925" s="69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68"/>
    </row>
    <row r="926" spans="1:15" x14ac:dyDescent="0.25">
      <c r="A926" s="68"/>
      <c r="B926" s="69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68"/>
    </row>
    <row r="927" spans="1:15" x14ac:dyDescent="0.25">
      <c r="A927" s="68"/>
      <c r="B927" s="69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68"/>
    </row>
    <row r="928" spans="1:15" x14ac:dyDescent="0.25">
      <c r="A928" s="68"/>
      <c r="B928" s="69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68"/>
    </row>
    <row r="929" spans="1:15" x14ac:dyDescent="0.25">
      <c r="A929" s="68"/>
      <c r="B929" s="69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68"/>
    </row>
    <row r="930" spans="1:15" x14ac:dyDescent="0.25">
      <c r="A930" s="68"/>
      <c r="B930" s="69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68"/>
    </row>
    <row r="931" spans="1:15" x14ac:dyDescent="0.25">
      <c r="A931" s="68"/>
      <c r="B931" s="69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68"/>
    </row>
    <row r="932" spans="1:15" x14ac:dyDescent="0.25">
      <c r="A932" s="68"/>
      <c r="B932" s="69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68"/>
    </row>
    <row r="933" spans="1:15" x14ac:dyDescent="0.25">
      <c r="A933" s="68"/>
      <c r="B933" s="69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68"/>
    </row>
    <row r="934" spans="1:15" x14ac:dyDescent="0.25">
      <c r="A934" s="68"/>
      <c r="B934" s="69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68"/>
    </row>
    <row r="935" spans="1:15" x14ac:dyDescent="0.25">
      <c r="A935" s="68"/>
      <c r="B935" s="69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68"/>
    </row>
    <row r="936" spans="1:15" x14ac:dyDescent="0.25">
      <c r="A936" s="68"/>
      <c r="B936" s="69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68"/>
    </row>
    <row r="937" spans="1:15" x14ac:dyDescent="0.25">
      <c r="A937" s="68"/>
      <c r="B937" s="69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68"/>
    </row>
    <row r="938" spans="1:15" x14ac:dyDescent="0.25">
      <c r="A938" s="68"/>
      <c r="B938" s="69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68"/>
    </row>
    <row r="939" spans="1:15" x14ac:dyDescent="0.25">
      <c r="A939" s="68"/>
      <c r="B939" s="69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68"/>
    </row>
    <row r="940" spans="1:15" x14ac:dyDescent="0.25">
      <c r="A940" s="68"/>
      <c r="B940" s="69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68"/>
    </row>
    <row r="941" spans="1:15" x14ac:dyDescent="0.25">
      <c r="A941" s="68"/>
      <c r="B941" s="69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68"/>
    </row>
    <row r="942" spans="1:15" x14ac:dyDescent="0.25">
      <c r="A942" s="68"/>
      <c r="B942" s="69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68"/>
    </row>
    <row r="943" spans="1:15" x14ac:dyDescent="0.25">
      <c r="A943" s="68"/>
      <c r="B943" s="69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68"/>
    </row>
    <row r="944" spans="1:15" x14ac:dyDescent="0.25">
      <c r="A944" s="68"/>
      <c r="B944" s="69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68"/>
    </row>
    <row r="945" spans="1:15" x14ac:dyDescent="0.25">
      <c r="A945" s="68"/>
      <c r="B945" s="69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68"/>
    </row>
    <row r="946" spans="1:15" x14ac:dyDescent="0.25">
      <c r="A946" s="68"/>
      <c r="B946" s="69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68"/>
    </row>
    <row r="947" spans="1:15" x14ac:dyDescent="0.25">
      <c r="A947" s="68"/>
      <c r="B947" s="69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68"/>
    </row>
    <row r="948" spans="1:15" x14ac:dyDescent="0.25">
      <c r="A948" s="68"/>
      <c r="B948" s="69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68"/>
    </row>
    <row r="949" spans="1:15" x14ac:dyDescent="0.25">
      <c r="A949" s="68"/>
      <c r="B949" s="69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68"/>
    </row>
    <row r="950" spans="1:15" x14ac:dyDescent="0.25">
      <c r="A950" s="68"/>
      <c r="B950" s="69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68"/>
    </row>
    <row r="951" spans="1:15" x14ac:dyDescent="0.25">
      <c r="A951" s="68"/>
      <c r="B951" s="69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68"/>
    </row>
    <row r="952" spans="1:15" x14ac:dyDescent="0.25">
      <c r="A952" s="68"/>
      <c r="B952" s="69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68"/>
    </row>
    <row r="953" spans="1:15" x14ac:dyDescent="0.25">
      <c r="A953" s="68"/>
      <c r="B953" s="69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68"/>
    </row>
    <row r="954" spans="1:15" x14ac:dyDescent="0.25">
      <c r="A954" s="68"/>
      <c r="B954" s="69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68"/>
    </row>
    <row r="955" spans="1:15" x14ac:dyDescent="0.25">
      <c r="A955" s="68"/>
      <c r="B955" s="69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68"/>
    </row>
    <row r="956" spans="1:15" x14ac:dyDescent="0.25">
      <c r="A956" s="68"/>
      <c r="B956" s="69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68"/>
    </row>
    <row r="957" spans="1:15" x14ac:dyDescent="0.25">
      <c r="A957" s="68"/>
      <c r="B957" s="69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68"/>
    </row>
    <row r="958" spans="1:15" x14ac:dyDescent="0.25">
      <c r="A958" s="68"/>
      <c r="B958" s="69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68"/>
    </row>
    <row r="959" spans="1:15" x14ac:dyDescent="0.25">
      <c r="A959" s="68"/>
      <c r="B959" s="69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68"/>
    </row>
    <row r="960" spans="1:15" x14ac:dyDescent="0.25">
      <c r="A960" s="68"/>
      <c r="B960" s="69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68"/>
    </row>
    <row r="961" spans="1:15" x14ac:dyDescent="0.25">
      <c r="A961" s="68"/>
      <c r="B961" s="69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68"/>
    </row>
    <row r="962" spans="1:15" x14ac:dyDescent="0.25">
      <c r="A962" s="68"/>
      <c r="B962" s="69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68"/>
    </row>
    <row r="963" spans="1:15" x14ac:dyDescent="0.25">
      <c r="A963" s="68"/>
      <c r="B963" s="69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68"/>
    </row>
    <row r="964" spans="1:15" x14ac:dyDescent="0.25">
      <c r="A964" s="68"/>
      <c r="B964" s="69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68"/>
    </row>
    <row r="965" spans="1:15" x14ac:dyDescent="0.25">
      <c r="A965" s="68"/>
      <c r="B965" s="69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68"/>
    </row>
    <row r="966" spans="1:15" x14ac:dyDescent="0.25">
      <c r="A966" s="68"/>
      <c r="B966" s="69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68"/>
    </row>
    <row r="967" spans="1:15" x14ac:dyDescent="0.25">
      <c r="A967" s="68"/>
      <c r="B967" s="69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68"/>
    </row>
    <row r="968" spans="1:15" x14ac:dyDescent="0.25">
      <c r="A968" s="68"/>
      <c r="B968" s="69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68"/>
    </row>
    <row r="969" spans="1:15" x14ac:dyDescent="0.25">
      <c r="A969" s="68"/>
      <c r="B969" s="69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68"/>
    </row>
    <row r="970" spans="1:15" x14ac:dyDescent="0.25">
      <c r="A970" s="68"/>
      <c r="B970" s="69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68"/>
    </row>
    <row r="971" spans="1:15" x14ac:dyDescent="0.25">
      <c r="A971" s="68"/>
      <c r="B971" s="69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68"/>
    </row>
    <row r="972" spans="1:15" x14ac:dyDescent="0.25">
      <c r="A972" s="68"/>
      <c r="B972" s="69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68"/>
    </row>
    <row r="973" spans="1:15" x14ac:dyDescent="0.25">
      <c r="A973" s="68"/>
      <c r="B973" s="69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68"/>
    </row>
    <row r="974" spans="1:15" x14ac:dyDescent="0.25">
      <c r="A974" s="68"/>
      <c r="B974" s="69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68"/>
    </row>
    <row r="975" spans="1:15" x14ac:dyDescent="0.25">
      <c r="A975" s="68"/>
      <c r="B975" s="69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68"/>
    </row>
    <row r="976" spans="1:15" x14ac:dyDescent="0.25">
      <c r="A976" s="68"/>
      <c r="B976" s="69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68"/>
    </row>
    <row r="977" spans="1:15" x14ac:dyDescent="0.25">
      <c r="A977" s="68"/>
      <c r="B977" s="69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68"/>
    </row>
    <row r="978" spans="1:15" x14ac:dyDescent="0.25">
      <c r="A978" s="68"/>
      <c r="B978" s="69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68"/>
    </row>
    <row r="979" spans="1:15" x14ac:dyDescent="0.25">
      <c r="A979" s="68"/>
      <c r="B979" s="69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68"/>
    </row>
    <row r="980" spans="1:15" x14ac:dyDescent="0.25">
      <c r="A980" s="68"/>
      <c r="B980" s="69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68"/>
    </row>
    <row r="981" spans="1:15" x14ac:dyDescent="0.25">
      <c r="A981" s="68"/>
      <c r="B981" s="69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68"/>
    </row>
    <row r="982" spans="1:15" x14ac:dyDescent="0.25">
      <c r="A982" s="68"/>
      <c r="B982" s="69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68"/>
    </row>
    <row r="983" spans="1:15" x14ac:dyDescent="0.25">
      <c r="A983" s="68"/>
      <c r="B983" s="69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68"/>
    </row>
    <row r="984" spans="1:15" x14ac:dyDescent="0.25">
      <c r="A984" s="68"/>
      <c r="B984" s="69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68"/>
    </row>
    <row r="985" spans="1:15" x14ac:dyDescent="0.25">
      <c r="A985" s="68"/>
      <c r="B985" s="69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68"/>
    </row>
    <row r="986" spans="1:15" x14ac:dyDescent="0.25">
      <c r="A986" s="68"/>
      <c r="B986" s="69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68"/>
    </row>
    <row r="987" spans="1:15" x14ac:dyDescent="0.25">
      <c r="A987" s="68"/>
      <c r="B987" s="69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68"/>
    </row>
    <row r="988" spans="1:15" x14ac:dyDescent="0.25">
      <c r="A988" s="68"/>
      <c r="B988" s="69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68"/>
    </row>
    <row r="989" spans="1:15" x14ac:dyDescent="0.25">
      <c r="A989" s="68"/>
      <c r="B989" s="69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68"/>
    </row>
    <row r="990" spans="1:15" x14ac:dyDescent="0.25">
      <c r="A990" s="68"/>
      <c r="B990" s="69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68"/>
    </row>
    <row r="991" spans="1:15" x14ac:dyDescent="0.25">
      <c r="A991" s="68"/>
      <c r="B991" s="69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68"/>
    </row>
    <row r="992" spans="1:15" x14ac:dyDescent="0.25">
      <c r="A992" s="68"/>
      <c r="B992" s="69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68"/>
    </row>
    <row r="993" spans="1:15" x14ac:dyDescent="0.25">
      <c r="A993" s="68"/>
      <c r="B993" s="69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68"/>
    </row>
    <row r="994" spans="1:15" x14ac:dyDescent="0.25">
      <c r="A994" s="68"/>
      <c r="B994" s="69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68"/>
    </row>
    <row r="995" spans="1:15" x14ac:dyDescent="0.25">
      <c r="A995" s="68"/>
      <c r="B995" s="69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68"/>
    </row>
    <row r="996" spans="1:15" x14ac:dyDescent="0.25">
      <c r="A996" s="68"/>
      <c r="B996" s="69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68"/>
    </row>
    <row r="997" spans="1:15" x14ac:dyDescent="0.25">
      <c r="A997" s="68"/>
      <c r="B997" s="69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68"/>
    </row>
    <row r="998" spans="1:15" x14ac:dyDescent="0.25">
      <c r="A998" s="68"/>
      <c r="B998" s="69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68"/>
    </row>
    <row r="999" spans="1:15" x14ac:dyDescent="0.25">
      <c r="A999" s="68"/>
      <c r="B999" s="69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68"/>
    </row>
    <row r="1000" spans="1:15" x14ac:dyDescent="0.25">
      <c r="A1000" s="68"/>
      <c r="B1000" s="69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68"/>
    </row>
    <row r="1001" spans="1:15" x14ac:dyDescent="0.25">
      <c r="A1001" s="68"/>
      <c r="B1001" s="69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68"/>
    </row>
    <row r="1002" spans="1:15" x14ac:dyDescent="0.25">
      <c r="A1002" s="68"/>
      <c r="B1002" s="69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68"/>
    </row>
    <row r="1003" spans="1:15" x14ac:dyDescent="0.25">
      <c r="A1003" s="68"/>
      <c r="B1003" s="69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68"/>
    </row>
    <row r="1004" spans="1:15" x14ac:dyDescent="0.25">
      <c r="A1004" s="68"/>
      <c r="B1004" s="69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68"/>
    </row>
    <row r="1005" spans="1:15" x14ac:dyDescent="0.25">
      <c r="A1005" s="68"/>
      <c r="B1005" s="69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68"/>
    </row>
    <row r="1006" spans="1:15" x14ac:dyDescent="0.25">
      <c r="A1006" s="68"/>
      <c r="B1006" s="69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68"/>
    </row>
    <row r="1007" spans="1:15" x14ac:dyDescent="0.25">
      <c r="A1007" s="68"/>
      <c r="B1007" s="69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68"/>
    </row>
    <row r="1008" spans="1:15" x14ac:dyDescent="0.25">
      <c r="A1008" s="68"/>
      <c r="B1008" s="69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68"/>
    </row>
    <row r="1009" spans="1:15" x14ac:dyDescent="0.25">
      <c r="A1009" s="68"/>
      <c r="B1009" s="69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68"/>
    </row>
    <row r="1010" spans="1:15" x14ac:dyDescent="0.25">
      <c r="A1010" s="68"/>
      <c r="B1010" s="69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68"/>
    </row>
    <row r="1011" spans="1:15" x14ac:dyDescent="0.25">
      <c r="A1011" s="68"/>
      <c r="B1011" s="69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68"/>
    </row>
    <row r="1012" spans="1:15" x14ac:dyDescent="0.25">
      <c r="A1012" s="68"/>
      <c r="B1012" s="69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68"/>
    </row>
    <row r="1013" spans="1:15" x14ac:dyDescent="0.25">
      <c r="A1013" s="68"/>
      <c r="B1013" s="69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68"/>
    </row>
    <row r="1014" spans="1:15" x14ac:dyDescent="0.25">
      <c r="A1014" s="68"/>
      <c r="B1014" s="69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68"/>
    </row>
    <row r="1015" spans="1:15" x14ac:dyDescent="0.25">
      <c r="A1015" s="68"/>
      <c r="B1015" s="69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68"/>
    </row>
    <row r="1016" spans="1:15" x14ac:dyDescent="0.25">
      <c r="A1016" s="68"/>
      <c r="B1016" s="69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68"/>
    </row>
    <row r="1017" spans="1:15" x14ac:dyDescent="0.25">
      <c r="A1017" s="68"/>
      <c r="B1017" s="69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68"/>
    </row>
    <row r="1018" spans="1:15" x14ac:dyDescent="0.25">
      <c r="A1018" s="68"/>
      <c r="B1018" s="69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68"/>
    </row>
    <row r="1019" spans="1:15" x14ac:dyDescent="0.25">
      <c r="A1019" s="68"/>
      <c r="B1019" s="69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68"/>
    </row>
    <row r="1020" spans="1:15" x14ac:dyDescent="0.25">
      <c r="A1020" s="68"/>
      <c r="B1020" s="69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68"/>
    </row>
    <row r="1021" spans="1:15" x14ac:dyDescent="0.25">
      <c r="A1021" s="68"/>
      <c r="B1021" s="69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68"/>
    </row>
    <row r="1022" spans="1:15" x14ac:dyDescent="0.25">
      <c r="A1022" s="68"/>
      <c r="B1022" s="69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68"/>
    </row>
    <row r="1023" spans="1:15" x14ac:dyDescent="0.25">
      <c r="A1023" s="68"/>
      <c r="B1023" s="69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68"/>
    </row>
    <row r="1024" spans="1:15" x14ac:dyDescent="0.25">
      <c r="A1024" s="68"/>
      <c r="B1024" s="69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68"/>
    </row>
    <row r="1025" spans="1:15" x14ac:dyDescent="0.25">
      <c r="A1025" s="68"/>
      <c r="B1025" s="69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68"/>
    </row>
    <row r="1026" spans="1:15" x14ac:dyDescent="0.25">
      <c r="A1026" s="68"/>
      <c r="B1026" s="69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68"/>
    </row>
    <row r="1027" spans="1:15" x14ac:dyDescent="0.25">
      <c r="A1027" s="68"/>
      <c r="B1027" s="69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68"/>
    </row>
    <row r="1028" spans="1:15" x14ac:dyDescent="0.25">
      <c r="A1028" s="68"/>
      <c r="B1028" s="69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68"/>
    </row>
    <row r="1029" spans="1:15" x14ac:dyDescent="0.25">
      <c r="A1029" s="68"/>
      <c r="B1029" s="69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68"/>
    </row>
    <row r="1030" spans="1:15" x14ac:dyDescent="0.25">
      <c r="A1030" s="68"/>
      <c r="B1030" s="69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68"/>
    </row>
    <row r="1031" spans="1:15" x14ac:dyDescent="0.25">
      <c r="A1031" s="68"/>
      <c r="B1031" s="69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68"/>
    </row>
    <row r="1032" spans="1:15" x14ac:dyDescent="0.25">
      <c r="A1032" s="68"/>
      <c r="B1032" s="69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68"/>
    </row>
    <row r="1033" spans="1:15" x14ac:dyDescent="0.25">
      <c r="A1033" s="68"/>
      <c r="B1033" s="69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68"/>
    </row>
    <row r="1034" spans="1:15" x14ac:dyDescent="0.25">
      <c r="A1034" s="68"/>
      <c r="B1034" s="69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68"/>
    </row>
    <row r="1035" spans="1:15" x14ac:dyDescent="0.25">
      <c r="A1035" s="68"/>
      <c r="B1035" s="69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68"/>
    </row>
    <row r="1036" spans="1:15" x14ac:dyDescent="0.25">
      <c r="A1036" s="68"/>
      <c r="B1036" s="69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68"/>
    </row>
    <row r="1037" spans="1:15" x14ac:dyDescent="0.25">
      <c r="A1037" s="68"/>
      <c r="B1037" s="69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68"/>
    </row>
    <row r="1038" spans="1:15" x14ac:dyDescent="0.25">
      <c r="A1038" s="68"/>
      <c r="B1038" s="69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68"/>
    </row>
    <row r="1039" spans="1:15" x14ac:dyDescent="0.25">
      <c r="A1039" s="68"/>
      <c r="B1039" s="69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68"/>
    </row>
    <row r="1040" spans="1:15" x14ac:dyDescent="0.25">
      <c r="A1040" s="68"/>
      <c r="B1040" s="69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68"/>
    </row>
    <row r="1041" spans="1:15" x14ac:dyDescent="0.25">
      <c r="A1041" s="68"/>
      <c r="B1041" s="69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68"/>
    </row>
    <row r="1042" spans="1:15" x14ac:dyDescent="0.25">
      <c r="A1042" s="68"/>
      <c r="B1042" s="69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68"/>
    </row>
    <row r="1043" spans="1:15" x14ac:dyDescent="0.25">
      <c r="A1043" s="68"/>
      <c r="B1043" s="69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68"/>
    </row>
    <row r="1044" spans="1:15" x14ac:dyDescent="0.25">
      <c r="A1044" s="68"/>
      <c r="B1044" s="69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68"/>
    </row>
    <row r="1045" spans="1:15" x14ac:dyDescent="0.25">
      <c r="A1045" s="68"/>
      <c r="B1045" s="69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68"/>
    </row>
    <row r="1046" spans="1:15" x14ac:dyDescent="0.25">
      <c r="A1046" s="68"/>
      <c r="B1046" s="69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68"/>
    </row>
    <row r="1047" spans="1:15" x14ac:dyDescent="0.25">
      <c r="A1047" s="68"/>
      <c r="B1047" s="69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68"/>
    </row>
    <row r="1048" spans="1:15" x14ac:dyDescent="0.25">
      <c r="A1048" s="68"/>
      <c r="B1048" s="69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68"/>
    </row>
    <row r="1049" spans="1:15" x14ac:dyDescent="0.25">
      <c r="A1049" s="68"/>
      <c r="B1049" s="69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68"/>
    </row>
    <row r="1050" spans="1:15" x14ac:dyDescent="0.25">
      <c r="A1050" s="68"/>
      <c r="B1050" s="69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68"/>
    </row>
    <row r="1051" spans="1:15" x14ac:dyDescent="0.25">
      <c r="A1051" s="68"/>
      <c r="B1051" s="69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68"/>
    </row>
    <row r="1052" spans="1:15" x14ac:dyDescent="0.25">
      <c r="A1052" s="68"/>
      <c r="B1052" s="69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68"/>
    </row>
    <row r="1053" spans="1:15" x14ac:dyDescent="0.25">
      <c r="A1053" s="68"/>
      <c r="B1053" s="69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68"/>
    </row>
    <row r="1054" spans="1:15" x14ac:dyDescent="0.25">
      <c r="A1054" s="68"/>
      <c r="B1054" s="69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68"/>
    </row>
    <row r="1055" spans="1:15" x14ac:dyDescent="0.25">
      <c r="A1055" s="68"/>
      <c r="B1055" s="69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68"/>
    </row>
    <row r="1056" spans="1:15" x14ac:dyDescent="0.25">
      <c r="A1056" s="68"/>
      <c r="B1056" s="69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68"/>
    </row>
    <row r="1057" spans="1:15" x14ac:dyDescent="0.25">
      <c r="A1057" s="68"/>
      <c r="B1057" s="69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39EB-0906-4168-A47F-C69640616AE7}">
  <dimension ref="A1:AG1057"/>
  <sheetViews>
    <sheetView workbookViewId="0">
      <selection activeCell="Q1" sqref="Q1"/>
    </sheetView>
  </sheetViews>
  <sheetFormatPr defaultColWidth="12.5703125" defaultRowHeight="15" x14ac:dyDescent="0.25"/>
  <cols>
    <col min="1" max="1" width="4.5703125" customWidth="1"/>
    <col min="2" max="2" width="29.42578125" customWidth="1"/>
    <col min="3" max="3" width="12.5703125" customWidth="1"/>
    <col min="4" max="4" width="14.5703125" customWidth="1"/>
    <col min="5" max="14" width="12.5703125" customWidth="1"/>
    <col min="18" max="18" width="22.85546875" customWidth="1"/>
  </cols>
  <sheetData>
    <row r="1" spans="1:33" ht="43.5" customHeight="1" x14ac:dyDescent="0.25">
      <c r="A1" s="76"/>
      <c r="B1" s="76" t="s">
        <v>254</v>
      </c>
      <c r="C1" s="76" t="s">
        <v>255</v>
      </c>
      <c r="D1" s="76" t="s">
        <v>256</v>
      </c>
      <c r="E1" s="76" t="s">
        <v>257</v>
      </c>
      <c r="F1" s="76" t="s">
        <v>258</v>
      </c>
      <c r="G1" s="76" t="s">
        <v>259</v>
      </c>
      <c r="H1" s="76" t="s">
        <v>260</v>
      </c>
      <c r="I1" s="76" t="s">
        <v>261</v>
      </c>
      <c r="J1" s="76" t="s">
        <v>262</v>
      </c>
      <c r="K1" s="76" t="s">
        <v>263</v>
      </c>
      <c r="L1" s="76" t="s">
        <v>264</v>
      </c>
      <c r="M1" s="76" t="s">
        <v>265</v>
      </c>
      <c r="N1" s="76" t="s">
        <v>266</v>
      </c>
      <c r="O1" s="76" t="s">
        <v>267</v>
      </c>
      <c r="P1" s="76" t="s">
        <v>282</v>
      </c>
      <c r="Q1" s="76" t="s">
        <v>283</v>
      </c>
      <c r="R1" s="76" t="s">
        <v>284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1:33" x14ac:dyDescent="0.25">
      <c r="A2" s="77">
        <v>1</v>
      </c>
      <c r="B2" s="78" t="s">
        <v>6</v>
      </c>
      <c r="C2" s="79"/>
      <c r="D2" s="79"/>
      <c r="E2" s="79"/>
      <c r="F2" s="79"/>
      <c r="G2" s="79"/>
      <c r="H2" s="79"/>
      <c r="I2" s="79"/>
      <c r="J2" s="79">
        <v>19</v>
      </c>
      <c r="K2" s="79"/>
      <c r="L2" s="79"/>
      <c r="M2" s="79">
        <v>37</v>
      </c>
      <c r="N2" s="79">
        <v>40</v>
      </c>
      <c r="O2" s="77" t="s">
        <v>268</v>
      </c>
      <c r="P2" s="80">
        <f>SUM(C2:N2)</f>
        <v>96</v>
      </c>
      <c r="Q2" s="80">
        <f>(P2/600)*100</f>
        <v>16</v>
      </c>
      <c r="R2" s="80">
        <f>Q2*0.2</f>
        <v>3.2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</row>
    <row r="3" spans="1:33" x14ac:dyDescent="0.25">
      <c r="A3" s="77">
        <v>2</v>
      </c>
      <c r="B3" s="78" t="s">
        <v>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7" t="s">
        <v>268</v>
      </c>
      <c r="P3" s="80">
        <f t="shared" ref="P3:P66" si="0">SUM(C3:N3)</f>
        <v>0</v>
      </c>
      <c r="Q3" s="80">
        <f t="shared" ref="Q3:Q66" si="1">(P3/600)*100</f>
        <v>0</v>
      </c>
      <c r="R3" s="80">
        <f t="shared" ref="R3:R66" si="2">Q3*0.2</f>
        <v>0</v>
      </c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</row>
    <row r="4" spans="1:33" x14ac:dyDescent="0.25">
      <c r="A4" s="77">
        <v>3</v>
      </c>
      <c r="B4" s="78" t="s">
        <v>8</v>
      </c>
      <c r="C4" s="79">
        <v>25</v>
      </c>
      <c r="D4" s="79">
        <v>39</v>
      </c>
      <c r="E4" s="79">
        <v>15</v>
      </c>
      <c r="F4" s="79">
        <v>19</v>
      </c>
      <c r="G4" s="79">
        <v>18</v>
      </c>
      <c r="H4" s="79">
        <v>20</v>
      </c>
      <c r="I4" s="79">
        <v>18</v>
      </c>
      <c r="J4" s="79">
        <v>19</v>
      </c>
      <c r="K4" s="79">
        <v>28</v>
      </c>
      <c r="L4" s="79">
        <v>29</v>
      </c>
      <c r="M4" s="79">
        <v>36</v>
      </c>
      <c r="N4" s="79">
        <v>37</v>
      </c>
      <c r="O4" s="77" t="s">
        <v>268</v>
      </c>
      <c r="P4" s="80">
        <f t="shared" si="0"/>
        <v>303</v>
      </c>
      <c r="Q4" s="80">
        <f>(P4/600)*100</f>
        <v>50.5</v>
      </c>
      <c r="R4" s="80">
        <f t="shared" si="2"/>
        <v>10.100000000000001</v>
      </c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</row>
    <row r="5" spans="1:33" x14ac:dyDescent="0.25">
      <c r="A5" s="77">
        <v>4</v>
      </c>
      <c r="B5" s="78" t="s">
        <v>9</v>
      </c>
      <c r="C5" s="79">
        <v>29</v>
      </c>
      <c r="D5" s="79">
        <v>40</v>
      </c>
      <c r="E5" s="79">
        <v>20</v>
      </c>
      <c r="F5" s="79">
        <v>21</v>
      </c>
      <c r="G5" s="79">
        <v>22</v>
      </c>
      <c r="H5" s="79">
        <v>18</v>
      </c>
      <c r="I5" s="79">
        <v>22</v>
      </c>
      <c r="J5" s="79">
        <v>13</v>
      </c>
      <c r="K5" s="79">
        <v>16</v>
      </c>
      <c r="L5" s="79">
        <v>26</v>
      </c>
      <c r="M5" s="79">
        <v>25</v>
      </c>
      <c r="N5" s="79">
        <v>33</v>
      </c>
      <c r="O5" s="77" t="s">
        <v>268</v>
      </c>
      <c r="P5" s="80">
        <f t="shared" si="0"/>
        <v>285</v>
      </c>
      <c r="Q5" s="80">
        <f>(P5/600)*100</f>
        <v>47.5</v>
      </c>
      <c r="R5" s="80">
        <f t="shared" si="2"/>
        <v>9.5</v>
      </c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</row>
    <row r="6" spans="1:33" x14ac:dyDescent="0.25">
      <c r="A6" s="77">
        <v>5</v>
      </c>
      <c r="B6" s="78" t="s">
        <v>10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7" t="s">
        <v>268</v>
      </c>
      <c r="P6" s="80">
        <f t="shared" si="0"/>
        <v>0</v>
      </c>
      <c r="Q6" s="80">
        <f t="shared" si="1"/>
        <v>0</v>
      </c>
      <c r="R6" s="80">
        <f t="shared" si="2"/>
        <v>0</v>
      </c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1:33" x14ac:dyDescent="0.25">
      <c r="A7" s="77">
        <v>6</v>
      </c>
      <c r="B7" s="78" t="s">
        <v>11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7" t="s">
        <v>268</v>
      </c>
      <c r="P7" s="80">
        <f t="shared" si="0"/>
        <v>0</v>
      </c>
      <c r="Q7" s="80">
        <f t="shared" si="1"/>
        <v>0</v>
      </c>
      <c r="R7" s="80">
        <f t="shared" si="2"/>
        <v>0</v>
      </c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</row>
    <row r="8" spans="1:33" x14ac:dyDescent="0.25">
      <c r="A8" s="77">
        <v>7</v>
      </c>
      <c r="B8" s="78" t="s">
        <v>12</v>
      </c>
      <c r="C8" s="79">
        <v>21</v>
      </c>
      <c r="D8" s="79">
        <v>35</v>
      </c>
      <c r="E8" s="79">
        <v>21</v>
      </c>
      <c r="F8" s="79"/>
      <c r="G8" s="79"/>
      <c r="H8" s="79"/>
      <c r="I8" s="79"/>
      <c r="J8" s="79"/>
      <c r="K8" s="79"/>
      <c r="L8" s="79"/>
      <c r="M8" s="79"/>
      <c r="N8" s="79"/>
      <c r="O8" s="77" t="s">
        <v>268</v>
      </c>
      <c r="P8" s="80">
        <f t="shared" si="0"/>
        <v>77</v>
      </c>
      <c r="Q8" s="80">
        <f t="shared" si="1"/>
        <v>12.833333333333332</v>
      </c>
      <c r="R8" s="80">
        <f t="shared" si="2"/>
        <v>2.5666666666666664</v>
      </c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x14ac:dyDescent="0.25">
      <c r="A9" s="77">
        <v>8</v>
      </c>
      <c r="B9" s="78" t="s">
        <v>13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7" t="s">
        <v>268</v>
      </c>
      <c r="P9" s="80">
        <f t="shared" si="0"/>
        <v>0</v>
      </c>
      <c r="Q9" s="80">
        <f t="shared" si="1"/>
        <v>0</v>
      </c>
      <c r="R9" s="80">
        <f t="shared" si="2"/>
        <v>0</v>
      </c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x14ac:dyDescent="0.25">
      <c r="A10" s="77">
        <v>9</v>
      </c>
      <c r="B10" s="78" t="s">
        <v>14</v>
      </c>
      <c r="C10" s="79">
        <v>38</v>
      </c>
      <c r="D10" s="79">
        <v>45</v>
      </c>
      <c r="E10" s="79">
        <v>30</v>
      </c>
      <c r="F10" s="79">
        <v>38</v>
      </c>
      <c r="G10" s="79">
        <v>35</v>
      </c>
      <c r="H10" s="79">
        <v>31</v>
      </c>
      <c r="I10" s="79">
        <v>40</v>
      </c>
      <c r="J10" s="79">
        <v>25</v>
      </c>
      <c r="K10" s="79">
        <v>39</v>
      </c>
      <c r="L10" s="79">
        <v>35</v>
      </c>
      <c r="M10" s="79">
        <v>45</v>
      </c>
      <c r="N10" s="79">
        <v>50</v>
      </c>
      <c r="O10" s="77" t="s">
        <v>268</v>
      </c>
      <c r="P10" s="80">
        <f t="shared" si="0"/>
        <v>451</v>
      </c>
      <c r="Q10" s="80">
        <f t="shared" si="1"/>
        <v>75.166666666666671</v>
      </c>
      <c r="R10" s="80">
        <f t="shared" si="2"/>
        <v>15.033333333333335</v>
      </c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x14ac:dyDescent="0.25">
      <c r="A11" s="77">
        <v>10</v>
      </c>
      <c r="B11" s="78" t="s">
        <v>15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7" t="s">
        <v>268</v>
      </c>
      <c r="P11" s="80">
        <f t="shared" si="0"/>
        <v>0</v>
      </c>
      <c r="Q11" s="80">
        <f t="shared" si="1"/>
        <v>0</v>
      </c>
      <c r="R11" s="80">
        <f t="shared" si="2"/>
        <v>0</v>
      </c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x14ac:dyDescent="0.25">
      <c r="A12" s="77">
        <v>11</v>
      </c>
      <c r="B12" s="78" t="s">
        <v>16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7" t="s">
        <v>268</v>
      </c>
      <c r="P12" s="80">
        <f t="shared" si="0"/>
        <v>0</v>
      </c>
      <c r="Q12" s="80">
        <f t="shared" si="1"/>
        <v>0</v>
      </c>
      <c r="R12" s="80">
        <f t="shared" si="2"/>
        <v>0</v>
      </c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x14ac:dyDescent="0.25">
      <c r="A13" s="77">
        <v>12</v>
      </c>
      <c r="B13" s="78" t="s">
        <v>17</v>
      </c>
      <c r="C13" s="79"/>
      <c r="D13" s="79"/>
      <c r="E13" s="79"/>
      <c r="F13" s="79"/>
      <c r="G13" s="79"/>
      <c r="H13" s="79"/>
      <c r="I13" s="79">
        <v>19</v>
      </c>
      <c r="J13" s="79">
        <v>16</v>
      </c>
      <c r="K13" s="79">
        <v>27</v>
      </c>
      <c r="L13" s="79">
        <v>24</v>
      </c>
      <c r="M13" s="79"/>
      <c r="N13" s="79">
        <v>32</v>
      </c>
      <c r="O13" s="77" t="s">
        <v>268</v>
      </c>
      <c r="P13" s="80">
        <f t="shared" si="0"/>
        <v>118</v>
      </c>
      <c r="Q13" s="80">
        <f t="shared" si="1"/>
        <v>19.666666666666664</v>
      </c>
      <c r="R13" s="80">
        <f t="shared" si="2"/>
        <v>3.9333333333333331</v>
      </c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x14ac:dyDescent="0.25">
      <c r="A14" s="77">
        <v>13</v>
      </c>
      <c r="B14" s="78" t="s">
        <v>18</v>
      </c>
      <c r="C14" s="79">
        <v>40</v>
      </c>
      <c r="D14" s="79">
        <v>32</v>
      </c>
      <c r="E14" s="79">
        <v>24</v>
      </c>
      <c r="F14" s="79">
        <v>18</v>
      </c>
      <c r="G14" s="79">
        <v>28</v>
      </c>
      <c r="H14" s="79">
        <v>20</v>
      </c>
      <c r="I14" s="79">
        <v>18</v>
      </c>
      <c r="J14" s="79">
        <v>18</v>
      </c>
      <c r="K14" s="79">
        <v>25</v>
      </c>
      <c r="L14" s="79">
        <v>29</v>
      </c>
      <c r="M14" s="79">
        <v>41</v>
      </c>
      <c r="N14" s="79">
        <v>34</v>
      </c>
      <c r="O14" s="77" t="s">
        <v>268</v>
      </c>
      <c r="P14" s="80">
        <f t="shared" si="0"/>
        <v>327</v>
      </c>
      <c r="Q14" s="80">
        <f t="shared" si="1"/>
        <v>54.500000000000007</v>
      </c>
      <c r="R14" s="80">
        <f t="shared" si="2"/>
        <v>10.900000000000002</v>
      </c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x14ac:dyDescent="0.25">
      <c r="A15" s="77">
        <v>14</v>
      </c>
      <c r="B15" s="78" t="s">
        <v>19</v>
      </c>
      <c r="C15" s="79"/>
      <c r="D15" s="79"/>
      <c r="E15" s="79"/>
      <c r="F15" s="79"/>
      <c r="G15" s="79">
        <v>20</v>
      </c>
      <c r="H15" s="79"/>
      <c r="I15" s="79"/>
      <c r="J15" s="79"/>
      <c r="K15" s="79"/>
      <c r="L15" s="79"/>
      <c r="M15" s="79"/>
      <c r="N15" s="79"/>
      <c r="O15" s="77" t="s">
        <v>268</v>
      </c>
      <c r="P15" s="80">
        <f t="shared" si="0"/>
        <v>20</v>
      </c>
      <c r="Q15" s="80">
        <f t="shared" si="1"/>
        <v>3.3333333333333335</v>
      </c>
      <c r="R15" s="80">
        <f t="shared" si="2"/>
        <v>0.66666666666666674</v>
      </c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x14ac:dyDescent="0.25">
      <c r="A16" s="77">
        <v>15</v>
      </c>
      <c r="B16" s="78" t="s">
        <v>20</v>
      </c>
      <c r="C16" s="79"/>
      <c r="D16" s="79"/>
      <c r="E16" s="79"/>
      <c r="F16" s="79"/>
      <c r="G16" s="79"/>
      <c r="H16" s="79"/>
      <c r="I16" s="79">
        <v>21</v>
      </c>
      <c r="J16" s="79">
        <v>28</v>
      </c>
      <c r="K16" s="79">
        <v>37</v>
      </c>
      <c r="L16" s="79">
        <v>35</v>
      </c>
      <c r="M16" s="79">
        <v>37</v>
      </c>
      <c r="N16" s="79">
        <v>39</v>
      </c>
      <c r="O16" s="77" t="s">
        <v>268</v>
      </c>
      <c r="P16" s="80">
        <f t="shared" si="0"/>
        <v>197</v>
      </c>
      <c r="Q16" s="80">
        <f t="shared" si="1"/>
        <v>32.833333333333329</v>
      </c>
      <c r="R16" s="80">
        <f t="shared" si="2"/>
        <v>6.5666666666666664</v>
      </c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x14ac:dyDescent="0.25">
      <c r="A17" s="77">
        <v>16</v>
      </c>
      <c r="B17" s="78" t="s">
        <v>21</v>
      </c>
      <c r="C17" s="79"/>
      <c r="D17" s="79"/>
      <c r="E17" s="79"/>
      <c r="F17" s="79"/>
      <c r="G17" s="79"/>
      <c r="H17" s="79"/>
      <c r="I17" s="79">
        <v>19</v>
      </c>
      <c r="J17" s="79">
        <v>12</v>
      </c>
      <c r="K17" s="79">
        <v>18</v>
      </c>
      <c r="L17" s="79">
        <v>16</v>
      </c>
      <c r="M17" s="79">
        <v>24</v>
      </c>
      <c r="N17" s="79">
        <v>30</v>
      </c>
      <c r="O17" s="77" t="s">
        <v>268</v>
      </c>
      <c r="P17" s="80">
        <f t="shared" si="0"/>
        <v>119</v>
      </c>
      <c r="Q17" s="80">
        <f t="shared" si="1"/>
        <v>19.833333333333332</v>
      </c>
      <c r="R17" s="80">
        <f t="shared" si="2"/>
        <v>3.9666666666666668</v>
      </c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x14ac:dyDescent="0.25">
      <c r="A18" s="77">
        <v>17</v>
      </c>
      <c r="B18" s="78" t="s">
        <v>22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7" t="s">
        <v>268</v>
      </c>
      <c r="P18" s="80">
        <f t="shared" si="0"/>
        <v>0</v>
      </c>
      <c r="Q18" s="80">
        <f t="shared" si="1"/>
        <v>0</v>
      </c>
      <c r="R18" s="80">
        <f t="shared" si="2"/>
        <v>0</v>
      </c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x14ac:dyDescent="0.25">
      <c r="A19" s="77">
        <v>18</v>
      </c>
      <c r="B19" s="78" t="s">
        <v>23</v>
      </c>
      <c r="C19" s="79">
        <v>44</v>
      </c>
      <c r="D19" s="79">
        <v>48</v>
      </c>
      <c r="E19" s="79">
        <v>38</v>
      </c>
      <c r="F19" s="79">
        <v>40</v>
      </c>
      <c r="G19" s="79">
        <v>40</v>
      </c>
      <c r="H19" s="79">
        <v>37</v>
      </c>
      <c r="I19" s="79">
        <v>42</v>
      </c>
      <c r="J19" s="79">
        <v>37</v>
      </c>
      <c r="K19" s="79">
        <v>49</v>
      </c>
      <c r="L19" s="79">
        <v>46</v>
      </c>
      <c r="M19" s="79">
        <v>47</v>
      </c>
      <c r="N19" s="79">
        <v>47</v>
      </c>
      <c r="O19" s="77" t="s">
        <v>268</v>
      </c>
      <c r="P19" s="80">
        <f t="shared" si="0"/>
        <v>515</v>
      </c>
      <c r="Q19" s="80">
        <f t="shared" si="1"/>
        <v>85.833333333333329</v>
      </c>
      <c r="R19" s="80">
        <f t="shared" si="2"/>
        <v>17.166666666666668</v>
      </c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x14ac:dyDescent="0.25">
      <c r="A20" s="77">
        <v>19</v>
      </c>
      <c r="B20" s="78" t="s">
        <v>24</v>
      </c>
      <c r="C20" s="79"/>
      <c r="D20" s="79"/>
      <c r="E20" s="79"/>
      <c r="F20" s="79"/>
      <c r="G20" s="79"/>
      <c r="H20" s="79"/>
      <c r="I20" s="79">
        <v>18</v>
      </c>
      <c r="J20" s="79">
        <v>11</v>
      </c>
      <c r="K20" s="79">
        <v>34</v>
      </c>
      <c r="L20" s="79">
        <v>24</v>
      </c>
      <c r="M20" s="79">
        <v>37</v>
      </c>
      <c r="N20" s="79">
        <v>40</v>
      </c>
      <c r="O20" s="77" t="s">
        <v>268</v>
      </c>
      <c r="P20" s="80">
        <f t="shared" si="0"/>
        <v>164</v>
      </c>
      <c r="Q20" s="80">
        <f t="shared" si="1"/>
        <v>27.333333333333332</v>
      </c>
      <c r="R20" s="80">
        <f t="shared" si="2"/>
        <v>5.4666666666666668</v>
      </c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x14ac:dyDescent="0.25">
      <c r="A21" s="77">
        <v>20</v>
      </c>
      <c r="B21" s="78" t="s">
        <v>25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7" t="s">
        <v>268</v>
      </c>
      <c r="P21" s="80">
        <f t="shared" si="0"/>
        <v>0</v>
      </c>
      <c r="Q21" s="80">
        <f t="shared" si="1"/>
        <v>0</v>
      </c>
      <c r="R21" s="80">
        <f t="shared" si="2"/>
        <v>0</v>
      </c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x14ac:dyDescent="0.25">
      <c r="A22" s="77">
        <v>21</v>
      </c>
      <c r="B22" s="78" t="s">
        <v>26</v>
      </c>
      <c r="C22" s="79">
        <v>28</v>
      </c>
      <c r="D22" s="79">
        <v>36</v>
      </c>
      <c r="E22" s="79">
        <v>25</v>
      </c>
      <c r="F22" s="79"/>
      <c r="G22" s="79"/>
      <c r="H22" s="79"/>
      <c r="I22" s="79">
        <v>27</v>
      </c>
      <c r="J22" s="79">
        <v>24</v>
      </c>
      <c r="K22" s="79">
        <v>30</v>
      </c>
      <c r="L22" s="79">
        <v>31</v>
      </c>
      <c r="M22" s="79"/>
      <c r="N22" s="79"/>
      <c r="O22" s="77" t="s">
        <v>268</v>
      </c>
      <c r="P22" s="80">
        <f t="shared" si="0"/>
        <v>201</v>
      </c>
      <c r="Q22" s="80">
        <f t="shared" si="1"/>
        <v>33.5</v>
      </c>
      <c r="R22" s="80">
        <f t="shared" si="2"/>
        <v>6.7</v>
      </c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x14ac:dyDescent="0.25">
      <c r="A23" s="77">
        <v>22</v>
      </c>
      <c r="B23" s="78" t="s">
        <v>27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7" t="s">
        <v>268</v>
      </c>
      <c r="P23" s="80">
        <f t="shared" si="0"/>
        <v>0</v>
      </c>
      <c r="Q23" s="80">
        <f t="shared" si="1"/>
        <v>0</v>
      </c>
      <c r="R23" s="80">
        <f t="shared" si="2"/>
        <v>0</v>
      </c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x14ac:dyDescent="0.25">
      <c r="A24" s="77">
        <v>23</v>
      </c>
      <c r="B24" s="78" t="s">
        <v>28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7" t="s">
        <v>268</v>
      </c>
      <c r="P24" s="80">
        <f t="shared" si="0"/>
        <v>0</v>
      </c>
      <c r="Q24" s="80">
        <f t="shared" si="1"/>
        <v>0</v>
      </c>
      <c r="R24" s="80">
        <f t="shared" si="2"/>
        <v>0</v>
      </c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x14ac:dyDescent="0.25">
      <c r="A25" s="77">
        <v>24</v>
      </c>
      <c r="B25" s="78" t="s">
        <v>29</v>
      </c>
      <c r="C25" s="79">
        <v>26</v>
      </c>
      <c r="D25" s="79">
        <v>41</v>
      </c>
      <c r="E25" s="79">
        <v>23</v>
      </c>
      <c r="F25" s="79">
        <v>29</v>
      </c>
      <c r="G25" s="79">
        <v>27</v>
      </c>
      <c r="H25" s="79">
        <v>30</v>
      </c>
      <c r="I25" s="79">
        <v>24</v>
      </c>
      <c r="J25" s="79">
        <v>21</v>
      </c>
      <c r="K25" s="79">
        <v>29</v>
      </c>
      <c r="L25" s="79">
        <v>27</v>
      </c>
      <c r="M25" s="79">
        <v>29</v>
      </c>
      <c r="N25" s="79">
        <v>34</v>
      </c>
      <c r="O25" s="77" t="s">
        <v>268</v>
      </c>
      <c r="P25" s="80">
        <f t="shared" si="0"/>
        <v>340</v>
      </c>
      <c r="Q25" s="80">
        <f t="shared" si="1"/>
        <v>56.666666666666664</v>
      </c>
      <c r="R25" s="80">
        <f t="shared" si="2"/>
        <v>11.333333333333334</v>
      </c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x14ac:dyDescent="0.25">
      <c r="A26" s="77">
        <v>25</v>
      </c>
      <c r="B26" s="78" t="s">
        <v>30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7" t="s">
        <v>268</v>
      </c>
      <c r="P26" s="80">
        <f t="shared" si="0"/>
        <v>0</v>
      </c>
      <c r="Q26" s="80">
        <f t="shared" si="1"/>
        <v>0</v>
      </c>
      <c r="R26" s="80">
        <f t="shared" si="2"/>
        <v>0</v>
      </c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x14ac:dyDescent="0.25">
      <c r="A27" s="77">
        <v>26</v>
      </c>
      <c r="B27" s="78" t="s">
        <v>31</v>
      </c>
      <c r="C27" s="79">
        <v>37</v>
      </c>
      <c r="D27" s="79">
        <v>30</v>
      </c>
      <c r="E27" s="79">
        <v>23</v>
      </c>
      <c r="F27" s="79">
        <v>19</v>
      </c>
      <c r="G27" s="79">
        <v>21</v>
      </c>
      <c r="H27" s="79">
        <v>17</v>
      </c>
      <c r="I27" s="79">
        <v>19</v>
      </c>
      <c r="J27" s="79">
        <v>20</v>
      </c>
      <c r="K27" s="79">
        <v>35</v>
      </c>
      <c r="L27" s="79">
        <v>22</v>
      </c>
      <c r="M27" s="79">
        <v>28</v>
      </c>
      <c r="N27" s="79">
        <v>33</v>
      </c>
      <c r="O27" s="77" t="s">
        <v>268</v>
      </c>
      <c r="P27" s="80">
        <f t="shared" si="0"/>
        <v>304</v>
      </c>
      <c r="Q27" s="80">
        <f t="shared" si="1"/>
        <v>50.666666666666671</v>
      </c>
      <c r="R27" s="80">
        <f t="shared" si="2"/>
        <v>10.133333333333335</v>
      </c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x14ac:dyDescent="0.25">
      <c r="A28" s="77">
        <v>27</v>
      </c>
      <c r="B28" s="78" t="s">
        <v>32</v>
      </c>
      <c r="C28" s="79">
        <v>45</v>
      </c>
      <c r="D28" s="79">
        <v>50</v>
      </c>
      <c r="E28" s="79">
        <v>37</v>
      </c>
      <c r="F28" s="79">
        <v>39</v>
      </c>
      <c r="G28" s="79">
        <v>37</v>
      </c>
      <c r="H28" s="79">
        <v>42</v>
      </c>
      <c r="I28" s="79">
        <v>40</v>
      </c>
      <c r="J28" s="79">
        <v>32</v>
      </c>
      <c r="K28" s="79">
        <v>48</v>
      </c>
      <c r="L28" s="79">
        <v>41</v>
      </c>
      <c r="M28" s="79">
        <v>42</v>
      </c>
      <c r="N28" s="79">
        <v>46</v>
      </c>
      <c r="O28" s="77" t="s">
        <v>268</v>
      </c>
      <c r="P28" s="80">
        <f t="shared" si="0"/>
        <v>499</v>
      </c>
      <c r="Q28" s="80">
        <f t="shared" si="1"/>
        <v>83.166666666666671</v>
      </c>
      <c r="R28" s="80">
        <f t="shared" si="2"/>
        <v>16.633333333333336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x14ac:dyDescent="0.25">
      <c r="A29" s="77">
        <v>28</v>
      </c>
      <c r="B29" s="78" t="s">
        <v>33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7" t="s">
        <v>268</v>
      </c>
      <c r="P29" s="80">
        <f t="shared" si="0"/>
        <v>0</v>
      </c>
      <c r="Q29" s="80">
        <f t="shared" si="1"/>
        <v>0</v>
      </c>
      <c r="R29" s="80">
        <f t="shared" si="2"/>
        <v>0</v>
      </c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x14ac:dyDescent="0.25">
      <c r="A30" s="77">
        <v>29</v>
      </c>
      <c r="B30" s="78" t="s">
        <v>34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7" t="s">
        <v>268</v>
      </c>
      <c r="P30" s="80">
        <f t="shared" si="0"/>
        <v>0</v>
      </c>
      <c r="Q30" s="80">
        <f t="shared" si="1"/>
        <v>0</v>
      </c>
      <c r="R30" s="80">
        <f t="shared" si="2"/>
        <v>0</v>
      </c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x14ac:dyDescent="0.25">
      <c r="A31" s="77">
        <v>30</v>
      </c>
      <c r="B31" s="78" t="s">
        <v>35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7" t="s">
        <v>268</v>
      </c>
      <c r="P31" s="80">
        <f t="shared" si="0"/>
        <v>0</v>
      </c>
      <c r="Q31" s="80">
        <f t="shared" si="1"/>
        <v>0</v>
      </c>
      <c r="R31" s="80">
        <f t="shared" si="2"/>
        <v>0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x14ac:dyDescent="0.25">
      <c r="A32" s="77">
        <v>31</v>
      </c>
      <c r="B32" s="78" t="s">
        <v>36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7" t="s">
        <v>268</v>
      </c>
      <c r="P32" s="80">
        <f t="shared" si="0"/>
        <v>0</v>
      </c>
      <c r="Q32" s="80">
        <f t="shared" si="1"/>
        <v>0</v>
      </c>
      <c r="R32" s="80">
        <f t="shared" si="2"/>
        <v>0</v>
      </c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1:33" x14ac:dyDescent="0.25">
      <c r="A33" s="77">
        <v>32</v>
      </c>
      <c r="B33" s="78" t="s">
        <v>37</v>
      </c>
      <c r="C33" s="79"/>
      <c r="D33" s="79"/>
      <c r="E33" s="79"/>
      <c r="F33" s="79"/>
      <c r="G33" s="79"/>
      <c r="H33" s="79"/>
      <c r="I33" s="79"/>
      <c r="J33" s="79"/>
      <c r="K33" s="79">
        <v>33</v>
      </c>
      <c r="L33" s="79">
        <v>31</v>
      </c>
      <c r="M33" s="79"/>
      <c r="N33" s="79"/>
      <c r="O33" s="77" t="s">
        <v>268</v>
      </c>
      <c r="P33" s="80">
        <f t="shared" si="0"/>
        <v>64</v>
      </c>
      <c r="Q33" s="80">
        <f t="shared" si="1"/>
        <v>10.666666666666668</v>
      </c>
      <c r="R33" s="80">
        <f t="shared" si="2"/>
        <v>2.1333333333333337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1:33" x14ac:dyDescent="0.25">
      <c r="A34" s="77">
        <v>33</v>
      </c>
      <c r="B34" s="78" t="s">
        <v>38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7" t="s">
        <v>268</v>
      </c>
      <c r="P34" s="80">
        <f t="shared" si="0"/>
        <v>0</v>
      </c>
      <c r="Q34" s="80">
        <f t="shared" si="1"/>
        <v>0</v>
      </c>
      <c r="R34" s="80">
        <f t="shared" si="2"/>
        <v>0</v>
      </c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x14ac:dyDescent="0.25">
      <c r="A35" s="77">
        <v>34</v>
      </c>
      <c r="B35" s="78" t="s">
        <v>39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7" t="s">
        <v>268</v>
      </c>
      <c r="P35" s="80">
        <f t="shared" si="0"/>
        <v>0</v>
      </c>
      <c r="Q35" s="80">
        <f t="shared" si="1"/>
        <v>0</v>
      </c>
      <c r="R35" s="80">
        <f t="shared" si="2"/>
        <v>0</v>
      </c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x14ac:dyDescent="0.25">
      <c r="A36" s="77">
        <v>35</v>
      </c>
      <c r="B36" s="78" t="s">
        <v>40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7" t="s">
        <v>268</v>
      </c>
      <c r="P36" s="80">
        <f t="shared" si="0"/>
        <v>0</v>
      </c>
      <c r="Q36" s="80">
        <f t="shared" si="1"/>
        <v>0</v>
      </c>
      <c r="R36" s="80">
        <f t="shared" si="2"/>
        <v>0</v>
      </c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1:33" x14ac:dyDescent="0.25">
      <c r="A37" s="77">
        <v>36</v>
      </c>
      <c r="B37" s="78" t="s">
        <v>41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7" t="s">
        <v>268</v>
      </c>
      <c r="P37" s="80">
        <f t="shared" si="0"/>
        <v>0</v>
      </c>
      <c r="Q37" s="80">
        <f t="shared" si="1"/>
        <v>0</v>
      </c>
      <c r="R37" s="80">
        <f t="shared" si="2"/>
        <v>0</v>
      </c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x14ac:dyDescent="0.25">
      <c r="A38" s="77">
        <v>37</v>
      </c>
      <c r="B38" s="78" t="s">
        <v>42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7" t="s">
        <v>268</v>
      </c>
      <c r="P38" s="80">
        <f t="shared" si="0"/>
        <v>0</v>
      </c>
      <c r="Q38" s="80">
        <f t="shared" si="1"/>
        <v>0</v>
      </c>
      <c r="R38" s="80">
        <f t="shared" si="2"/>
        <v>0</v>
      </c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x14ac:dyDescent="0.25">
      <c r="A39" s="77">
        <v>38</v>
      </c>
      <c r="B39" s="78" t="s">
        <v>43</v>
      </c>
      <c r="C39" s="79">
        <v>13</v>
      </c>
      <c r="D39" s="79">
        <v>37</v>
      </c>
      <c r="E39" s="79">
        <v>26</v>
      </c>
      <c r="F39" s="79"/>
      <c r="G39" s="79"/>
      <c r="H39" s="79"/>
      <c r="I39" s="79"/>
      <c r="J39" s="79"/>
      <c r="K39" s="79"/>
      <c r="L39" s="79"/>
      <c r="M39" s="79"/>
      <c r="N39" s="79"/>
      <c r="O39" s="77" t="s">
        <v>268</v>
      </c>
      <c r="P39" s="80">
        <f t="shared" si="0"/>
        <v>76</v>
      </c>
      <c r="Q39" s="80">
        <f t="shared" si="1"/>
        <v>12.666666666666668</v>
      </c>
      <c r="R39" s="80">
        <f t="shared" si="2"/>
        <v>2.5333333333333337</v>
      </c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x14ac:dyDescent="0.25">
      <c r="A40" s="77">
        <v>39</v>
      </c>
      <c r="B40" s="78" t="s">
        <v>44</v>
      </c>
      <c r="C40" s="79"/>
      <c r="D40" s="79"/>
      <c r="E40" s="79"/>
      <c r="F40" s="79"/>
      <c r="G40" s="79"/>
      <c r="H40" s="79"/>
      <c r="I40" s="79">
        <v>20</v>
      </c>
      <c r="J40" s="79"/>
      <c r="K40" s="79">
        <v>30</v>
      </c>
      <c r="L40" s="79"/>
      <c r="M40" s="79">
        <v>40</v>
      </c>
      <c r="N40" s="79">
        <v>37</v>
      </c>
      <c r="O40" s="77" t="s">
        <v>268</v>
      </c>
      <c r="P40" s="80">
        <f t="shared" si="0"/>
        <v>127</v>
      </c>
      <c r="Q40" s="80">
        <f t="shared" si="1"/>
        <v>21.166666666666668</v>
      </c>
      <c r="R40" s="80">
        <f t="shared" si="2"/>
        <v>4.2333333333333334</v>
      </c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x14ac:dyDescent="0.25">
      <c r="A41" s="77">
        <v>40</v>
      </c>
      <c r="B41" s="78" t="s">
        <v>45</v>
      </c>
      <c r="C41" s="79">
        <v>40</v>
      </c>
      <c r="D41" s="79">
        <v>24</v>
      </c>
      <c r="E41" s="79">
        <v>18</v>
      </c>
      <c r="F41" s="79">
        <v>19</v>
      </c>
      <c r="G41" s="79">
        <v>17</v>
      </c>
      <c r="H41" s="79">
        <v>19</v>
      </c>
      <c r="I41" s="79"/>
      <c r="J41" s="79"/>
      <c r="K41" s="79"/>
      <c r="L41" s="79"/>
      <c r="M41" s="79"/>
      <c r="N41" s="79"/>
      <c r="O41" s="77" t="s">
        <v>268</v>
      </c>
      <c r="P41" s="80">
        <f t="shared" si="0"/>
        <v>137</v>
      </c>
      <c r="Q41" s="80">
        <f t="shared" si="1"/>
        <v>22.833333333333332</v>
      </c>
      <c r="R41" s="80">
        <f t="shared" si="2"/>
        <v>4.5666666666666664</v>
      </c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1:33" x14ac:dyDescent="0.25">
      <c r="A42" s="77">
        <v>41</v>
      </c>
      <c r="B42" s="78" t="s">
        <v>46</v>
      </c>
      <c r="C42" s="79">
        <v>19</v>
      </c>
      <c r="D42" s="79">
        <v>37</v>
      </c>
      <c r="E42" s="79">
        <v>21</v>
      </c>
      <c r="F42" s="79">
        <v>28</v>
      </c>
      <c r="G42" s="79">
        <v>15</v>
      </c>
      <c r="H42" s="79">
        <v>27</v>
      </c>
      <c r="I42" s="79">
        <v>21</v>
      </c>
      <c r="J42" s="79">
        <v>21</v>
      </c>
      <c r="K42" s="79">
        <v>29</v>
      </c>
      <c r="L42" s="79">
        <v>26</v>
      </c>
      <c r="M42" s="79"/>
      <c r="N42" s="79"/>
      <c r="O42" s="77" t="s">
        <v>268</v>
      </c>
      <c r="P42" s="80">
        <f t="shared" si="0"/>
        <v>244</v>
      </c>
      <c r="Q42" s="80">
        <f t="shared" si="1"/>
        <v>40.666666666666664</v>
      </c>
      <c r="R42" s="80">
        <f t="shared" si="2"/>
        <v>8.1333333333333329</v>
      </c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1:33" x14ac:dyDescent="0.25">
      <c r="A43" s="77">
        <v>42</v>
      </c>
      <c r="B43" s="78" t="s">
        <v>47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7" t="s">
        <v>268</v>
      </c>
      <c r="P43" s="80">
        <f t="shared" si="0"/>
        <v>0</v>
      </c>
      <c r="Q43" s="80">
        <f t="shared" si="1"/>
        <v>0</v>
      </c>
      <c r="R43" s="80">
        <f t="shared" si="2"/>
        <v>0</v>
      </c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1:33" x14ac:dyDescent="0.25">
      <c r="A44" s="77">
        <v>43</v>
      </c>
      <c r="B44" s="78" t="s">
        <v>48</v>
      </c>
      <c r="C44" s="79">
        <v>25</v>
      </c>
      <c r="D44" s="79">
        <v>42</v>
      </c>
      <c r="E44" s="79">
        <v>29</v>
      </c>
      <c r="F44" s="79"/>
      <c r="G44" s="79"/>
      <c r="H44" s="79"/>
      <c r="I44" s="79">
        <v>27</v>
      </c>
      <c r="J44" s="79">
        <v>25</v>
      </c>
      <c r="K44" s="79">
        <v>40</v>
      </c>
      <c r="L44" s="79">
        <v>39</v>
      </c>
      <c r="M44" s="79">
        <v>41</v>
      </c>
      <c r="N44" s="79">
        <v>40</v>
      </c>
      <c r="O44" s="77" t="s">
        <v>268</v>
      </c>
      <c r="P44" s="80">
        <f t="shared" si="0"/>
        <v>308</v>
      </c>
      <c r="Q44" s="80">
        <f t="shared" si="1"/>
        <v>51.333333333333329</v>
      </c>
      <c r="R44" s="80">
        <f t="shared" si="2"/>
        <v>10.266666666666666</v>
      </c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spans="1:33" x14ac:dyDescent="0.25">
      <c r="A45" s="77">
        <v>44</v>
      </c>
      <c r="B45" s="78" t="s">
        <v>49</v>
      </c>
      <c r="C45" s="79"/>
      <c r="D45" s="79"/>
      <c r="E45" s="79"/>
      <c r="F45" s="79">
        <v>25</v>
      </c>
      <c r="G45" s="79">
        <v>22</v>
      </c>
      <c r="H45" s="79">
        <v>12</v>
      </c>
      <c r="I45" s="79">
        <v>20</v>
      </c>
      <c r="J45" s="79">
        <v>16</v>
      </c>
      <c r="K45" s="79">
        <v>28</v>
      </c>
      <c r="L45" s="79">
        <v>23</v>
      </c>
      <c r="M45" s="79">
        <v>34</v>
      </c>
      <c r="N45" s="79">
        <v>29</v>
      </c>
      <c r="O45" s="77" t="s">
        <v>268</v>
      </c>
      <c r="P45" s="80">
        <f t="shared" si="0"/>
        <v>209</v>
      </c>
      <c r="Q45" s="80">
        <f t="shared" si="1"/>
        <v>34.833333333333336</v>
      </c>
      <c r="R45" s="80">
        <f t="shared" si="2"/>
        <v>6.9666666666666677</v>
      </c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</row>
    <row r="46" spans="1:33" x14ac:dyDescent="0.25">
      <c r="A46" s="77">
        <v>45</v>
      </c>
      <c r="B46" s="78" t="s">
        <v>50</v>
      </c>
      <c r="C46" s="79"/>
      <c r="D46" s="79"/>
      <c r="E46" s="79"/>
      <c r="F46" s="79"/>
      <c r="G46" s="79"/>
      <c r="H46" s="79"/>
      <c r="I46" s="79">
        <v>28</v>
      </c>
      <c r="J46" s="79">
        <v>25</v>
      </c>
      <c r="K46" s="79">
        <v>31</v>
      </c>
      <c r="L46" s="79">
        <v>35</v>
      </c>
      <c r="M46" s="79"/>
      <c r="N46" s="79"/>
      <c r="O46" s="77" t="s">
        <v>268</v>
      </c>
      <c r="P46" s="80">
        <f t="shared" si="0"/>
        <v>119</v>
      </c>
      <c r="Q46" s="80">
        <f t="shared" si="1"/>
        <v>19.833333333333332</v>
      </c>
      <c r="R46" s="80">
        <f t="shared" si="2"/>
        <v>3.9666666666666668</v>
      </c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x14ac:dyDescent="0.25">
      <c r="A47" s="77">
        <v>46</v>
      </c>
      <c r="B47" s="78" t="s">
        <v>51</v>
      </c>
      <c r="C47" s="79"/>
      <c r="D47" s="79"/>
      <c r="E47" s="79"/>
      <c r="F47" s="79"/>
      <c r="G47" s="79"/>
      <c r="H47" s="79"/>
      <c r="I47" s="79">
        <v>19</v>
      </c>
      <c r="J47" s="79">
        <v>24</v>
      </c>
      <c r="K47" s="79">
        <v>30</v>
      </c>
      <c r="L47" s="79">
        <v>29</v>
      </c>
      <c r="M47" s="79">
        <v>37</v>
      </c>
      <c r="N47" s="79">
        <v>37</v>
      </c>
      <c r="O47" s="77" t="s">
        <v>268</v>
      </c>
      <c r="P47" s="80">
        <f t="shared" si="0"/>
        <v>176</v>
      </c>
      <c r="Q47" s="80">
        <f t="shared" si="1"/>
        <v>29.333333333333332</v>
      </c>
      <c r="R47" s="80">
        <f t="shared" si="2"/>
        <v>5.8666666666666671</v>
      </c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1:33" x14ac:dyDescent="0.25">
      <c r="A48" s="77">
        <v>47</v>
      </c>
      <c r="B48" s="78" t="s">
        <v>52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7" t="s">
        <v>268</v>
      </c>
      <c r="P48" s="80">
        <f t="shared" si="0"/>
        <v>0</v>
      </c>
      <c r="Q48" s="80">
        <f t="shared" si="1"/>
        <v>0</v>
      </c>
      <c r="R48" s="80">
        <f t="shared" si="2"/>
        <v>0</v>
      </c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</row>
    <row r="49" spans="1:33" x14ac:dyDescent="0.25">
      <c r="A49" s="77">
        <v>48</v>
      </c>
      <c r="B49" s="78" t="s">
        <v>53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7" t="s">
        <v>268</v>
      </c>
      <c r="P49" s="80">
        <f t="shared" si="0"/>
        <v>0</v>
      </c>
      <c r="Q49" s="80">
        <f t="shared" si="1"/>
        <v>0</v>
      </c>
      <c r="R49" s="80">
        <f t="shared" si="2"/>
        <v>0</v>
      </c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1:33" x14ac:dyDescent="0.25">
      <c r="A50" s="77">
        <v>49</v>
      </c>
      <c r="B50" s="78" t="s">
        <v>54</v>
      </c>
      <c r="C50" s="79">
        <v>18</v>
      </c>
      <c r="D50" s="79"/>
      <c r="E50" s="79"/>
      <c r="F50" s="79"/>
      <c r="G50" s="79"/>
      <c r="H50" s="79"/>
      <c r="I50" s="79">
        <v>19</v>
      </c>
      <c r="J50" s="79">
        <v>14</v>
      </c>
      <c r="K50" s="79">
        <v>34</v>
      </c>
      <c r="L50" s="79">
        <v>24</v>
      </c>
      <c r="M50" s="79">
        <v>34</v>
      </c>
      <c r="N50" s="79">
        <v>42</v>
      </c>
      <c r="O50" s="77" t="s">
        <v>268</v>
      </c>
      <c r="P50" s="80">
        <f t="shared" si="0"/>
        <v>185</v>
      </c>
      <c r="Q50" s="80">
        <f t="shared" si="1"/>
        <v>30.833333333333336</v>
      </c>
      <c r="R50" s="80">
        <f t="shared" si="2"/>
        <v>6.1666666666666679</v>
      </c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x14ac:dyDescent="0.25">
      <c r="A51" s="77">
        <v>50</v>
      </c>
      <c r="B51" s="78" t="s">
        <v>55</v>
      </c>
      <c r="C51" s="79">
        <v>41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7" t="s">
        <v>268</v>
      </c>
      <c r="P51" s="80">
        <f t="shared" si="0"/>
        <v>41</v>
      </c>
      <c r="Q51" s="80">
        <f t="shared" si="1"/>
        <v>6.833333333333333</v>
      </c>
      <c r="R51" s="80">
        <f t="shared" si="2"/>
        <v>1.3666666666666667</v>
      </c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1:33" x14ac:dyDescent="0.25">
      <c r="A52" s="77">
        <v>51</v>
      </c>
      <c r="B52" s="78" t="s">
        <v>56</v>
      </c>
      <c r="C52" s="79">
        <v>16</v>
      </c>
      <c r="D52" s="79">
        <v>38</v>
      </c>
      <c r="E52" s="79">
        <v>23</v>
      </c>
      <c r="F52" s="79">
        <v>12</v>
      </c>
      <c r="G52" s="79">
        <v>14</v>
      </c>
      <c r="H52" s="79">
        <v>20</v>
      </c>
      <c r="I52" s="79"/>
      <c r="J52" s="79"/>
      <c r="K52" s="79"/>
      <c r="L52" s="79"/>
      <c r="M52" s="79"/>
      <c r="N52" s="79"/>
      <c r="O52" s="77" t="s">
        <v>268</v>
      </c>
      <c r="P52" s="80">
        <f t="shared" si="0"/>
        <v>123</v>
      </c>
      <c r="Q52" s="80">
        <f t="shared" si="1"/>
        <v>20.5</v>
      </c>
      <c r="R52" s="80">
        <f t="shared" si="2"/>
        <v>4.1000000000000005</v>
      </c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x14ac:dyDescent="0.25">
      <c r="A53" s="77">
        <v>52</v>
      </c>
      <c r="B53" s="78" t="s">
        <v>57</v>
      </c>
      <c r="C53" s="79">
        <v>22</v>
      </c>
      <c r="D53" s="79">
        <v>38</v>
      </c>
      <c r="E53" s="79">
        <v>19</v>
      </c>
      <c r="F53" s="79">
        <v>28</v>
      </c>
      <c r="G53" s="79">
        <v>15</v>
      </c>
      <c r="H53" s="79">
        <v>19</v>
      </c>
      <c r="I53" s="79"/>
      <c r="J53" s="79">
        <v>21</v>
      </c>
      <c r="K53" s="79">
        <v>33</v>
      </c>
      <c r="L53" s="79">
        <v>27</v>
      </c>
      <c r="M53" s="79">
        <v>34</v>
      </c>
      <c r="N53" s="79">
        <v>43</v>
      </c>
      <c r="O53" s="77" t="s">
        <v>268</v>
      </c>
      <c r="P53" s="80">
        <f t="shared" si="0"/>
        <v>299</v>
      </c>
      <c r="Q53" s="80">
        <f t="shared" si="1"/>
        <v>49.833333333333336</v>
      </c>
      <c r="R53" s="80">
        <f t="shared" si="2"/>
        <v>9.9666666666666686</v>
      </c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x14ac:dyDescent="0.25">
      <c r="A54" s="77">
        <v>53</v>
      </c>
      <c r="B54" s="78" t="s">
        <v>58</v>
      </c>
      <c r="C54" s="79"/>
      <c r="D54" s="79"/>
      <c r="E54" s="79">
        <v>17</v>
      </c>
      <c r="F54" s="79">
        <v>14</v>
      </c>
      <c r="G54" s="79">
        <v>13</v>
      </c>
      <c r="H54" s="79">
        <v>26</v>
      </c>
      <c r="I54" s="79">
        <v>17</v>
      </c>
      <c r="J54" s="79">
        <v>17</v>
      </c>
      <c r="K54" s="79">
        <v>30</v>
      </c>
      <c r="L54" s="79">
        <v>26</v>
      </c>
      <c r="M54" s="79">
        <v>36</v>
      </c>
      <c r="N54" s="79">
        <v>38</v>
      </c>
      <c r="O54" s="77" t="s">
        <v>268</v>
      </c>
      <c r="P54" s="80">
        <f t="shared" si="0"/>
        <v>234</v>
      </c>
      <c r="Q54" s="80">
        <f t="shared" si="1"/>
        <v>39</v>
      </c>
      <c r="R54" s="80">
        <f t="shared" si="2"/>
        <v>7.8000000000000007</v>
      </c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x14ac:dyDescent="0.25">
      <c r="A55" s="77">
        <v>54</v>
      </c>
      <c r="B55" s="78" t="s">
        <v>59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7" t="s">
        <v>268</v>
      </c>
      <c r="P55" s="80">
        <f t="shared" si="0"/>
        <v>0</v>
      </c>
      <c r="Q55" s="80">
        <f t="shared" si="1"/>
        <v>0</v>
      </c>
      <c r="R55" s="80">
        <f t="shared" si="2"/>
        <v>0</v>
      </c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</row>
    <row r="56" spans="1:33" x14ac:dyDescent="0.25">
      <c r="A56" s="77">
        <v>55</v>
      </c>
      <c r="B56" s="78" t="s">
        <v>60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7" t="s">
        <v>268</v>
      </c>
      <c r="P56" s="80">
        <f t="shared" si="0"/>
        <v>0</v>
      </c>
      <c r="Q56" s="80">
        <f t="shared" si="1"/>
        <v>0</v>
      </c>
      <c r="R56" s="80">
        <f t="shared" si="2"/>
        <v>0</v>
      </c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</row>
    <row r="57" spans="1:33" x14ac:dyDescent="0.25">
      <c r="A57" s="77">
        <v>56</v>
      </c>
      <c r="B57" s="78" t="s">
        <v>61</v>
      </c>
      <c r="C57" s="79">
        <v>31</v>
      </c>
      <c r="D57" s="79">
        <v>34</v>
      </c>
      <c r="E57" s="79">
        <v>19</v>
      </c>
      <c r="F57" s="79">
        <v>20</v>
      </c>
      <c r="G57" s="79"/>
      <c r="H57" s="79"/>
      <c r="I57" s="79">
        <v>20</v>
      </c>
      <c r="J57" s="79">
        <v>24</v>
      </c>
      <c r="K57" s="79"/>
      <c r="L57" s="79"/>
      <c r="M57" s="79">
        <v>35</v>
      </c>
      <c r="N57" s="79">
        <v>39</v>
      </c>
      <c r="O57" s="77" t="s">
        <v>268</v>
      </c>
      <c r="P57" s="80">
        <f t="shared" si="0"/>
        <v>222</v>
      </c>
      <c r="Q57" s="80">
        <f t="shared" si="1"/>
        <v>37</v>
      </c>
      <c r="R57" s="80">
        <f t="shared" si="2"/>
        <v>7.4</v>
      </c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</row>
    <row r="58" spans="1:33" x14ac:dyDescent="0.25">
      <c r="A58" s="77">
        <v>57</v>
      </c>
      <c r="B58" s="78" t="s">
        <v>62</v>
      </c>
      <c r="C58" s="79">
        <v>35</v>
      </c>
      <c r="D58" s="79">
        <v>39</v>
      </c>
      <c r="E58" s="79">
        <v>24</v>
      </c>
      <c r="F58" s="79">
        <v>29</v>
      </c>
      <c r="G58" s="79">
        <v>34</v>
      </c>
      <c r="H58" s="79">
        <v>31</v>
      </c>
      <c r="I58" s="79">
        <v>20</v>
      </c>
      <c r="J58" s="79">
        <v>24</v>
      </c>
      <c r="K58" s="79">
        <v>28</v>
      </c>
      <c r="L58" s="79">
        <v>21</v>
      </c>
      <c r="M58" s="79">
        <v>38</v>
      </c>
      <c r="N58" s="79">
        <v>35</v>
      </c>
      <c r="O58" s="77" t="s">
        <v>268</v>
      </c>
      <c r="P58" s="80">
        <f t="shared" si="0"/>
        <v>358</v>
      </c>
      <c r="Q58" s="80">
        <f t="shared" si="1"/>
        <v>59.666666666666671</v>
      </c>
      <c r="R58" s="80">
        <f t="shared" si="2"/>
        <v>11.933333333333335</v>
      </c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1:33" x14ac:dyDescent="0.25">
      <c r="A59" s="77">
        <v>58</v>
      </c>
      <c r="B59" s="78" t="s">
        <v>63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7" t="s">
        <v>268</v>
      </c>
      <c r="P59" s="80">
        <f t="shared" si="0"/>
        <v>0</v>
      </c>
      <c r="Q59" s="80">
        <f t="shared" si="1"/>
        <v>0</v>
      </c>
      <c r="R59" s="80">
        <f t="shared" si="2"/>
        <v>0</v>
      </c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</row>
    <row r="60" spans="1:33" x14ac:dyDescent="0.25">
      <c r="A60" s="77">
        <v>59</v>
      </c>
      <c r="B60" s="78" t="s">
        <v>64</v>
      </c>
      <c r="C60" s="79"/>
      <c r="D60" s="79"/>
      <c r="E60" s="79">
        <v>19</v>
      </c>
      <c r="F60" s="79"/>
      <c r="G60" s="79"/>
      <c r="H60" s="79"/>
      <c r="I60" s="79"/>
      <c r="J60" s="79">
        <v>11</v>
      </c>
      <c r="K60" s="79"/>
      <c r="L60" s="79"/>
      <c r="M60" s="79"/>
      <c r="N60" s="79"/>
      <c r="O60" s="77" t="s">
        <v>268</v>
      </c>
      <c r="P60" s="80">
        <f t="shared" si="0"/>
        <v>30</v>
      </c>
      <c r="Q60" s="80">
        <f t="shared" si="1"/>
        <v>5</v>
      </c>
      <c r="R60" s="80">
        <f t="shared" si="2"/>
        <v>1</v>
      </c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</row>
    <row r="61" spans="1:33" x14ac:dyDescent="0.25">
      <c r="A61" s="77">
        <v>60</v>
      </c>
      <c r="B61" s="78" t="s">
        <v>65</v>
      </c>
      <c r="C61" s="79"/>
      <c r="D61" s="79"/>
      <c r="E61" s="79"/>
      <c r="F61" s="79"/>
      <c r="G61" s="79"/>
      <c r="H61" s="79"/>
      <c r="I61" s="79">
        <v>11</v>
      </c>
      <c r="J61" s="79">
        <v>25</v>
      </c>
      <c r="K61" s="79">
        <v>42</v>
      </c>
      <c r="L61" s="79">
        <v>36</v>
      </c>
      <c r="M61" s="79">
        <v>29</v>
      </c>
      <c r="N61" s="79">
        <v>40</v>
      </c>
      <c r="O61" s="77" t="s">
        <v>268</v>
      </c>
      <c r="P61" s="80">
        <f t="shared" si="0"/>
        <v>183</v>
      </c>
      <c r="Q61" s="80">
        <f t="shared" si="1"/>
        <v>30.5</v>
      </c>
      <c r="R61" s="80">
        <f t="shared" si="2"/>
        <v>6.1000000000000005</v>
      </c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</row>
    <row r="62" spans="1:33" x14ac:dyDescent="0.25">
      <c r="A62" s="77">
        <v>61</v>
      </c>
      <c r="B62" s="78" t="s">
        <v>66</v>
      </c>
      <c r="C62" s="79"/>
      <c r="D62" s="79"/>
      <c r="E62" s="79"/>
      <c r="F62" s="79"/>
      <c r="G62" s="79"/>
      <c r="H62" s="79"/>
      <c r="I62" s="79">
        <v>18</v>
      </c>
      <c r="J62" s="79">
        <v>32</v>
      </c>
      <c r="K62" s="79">
        <v>36</v>
      </c>
      <c r="L62" s="79">
        <v>38</v>
      </c>
      <c r="M62" s="79">
        <v>38</v>
      </c>
      <c r="N62" s="79">
        <v>34</v>
      </c>
      <c r="O62" s="77" t="s">
        <v>268</v>
      </c>
      <c r="P62" s="80">
        <f t="shared" si="0"/>
        <v>196</v>
      </c>
      <c r="Q62" s="80">
        <f t="shared" si="1"/>
        <v>32.666666666666664</v>
      </c>
      <c r="R62" s="80">
        <f t="shared" si="2"/>
        <v>6.5333333333333332</v>
      </c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</row>
    <row r="63" spans="1:33" x14ac:dyDescent="0.25">
      <c r="A63" s="77">
        <v>1</v>
      </c>
      <c r="B63" s="78" t="s">
        <v>67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7" t="s">
        <v>269</v>
      </c>
      <c r="P63" s="80">
        <f t="shared" si="0"/>
        <v>0</v>
      </c>
      <c r="Q63" s="80">
        <f t="shared" si="1"/>
        <v>0</v>
      </c>
      <c r="R63" s="80">
        <f t="shared" si="2"/>
        <v>0</v>
      </c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x14ac:dyDescent="0.25">
      <c r="A64" s="77">
        <v>2</v>
      </c>
      <c r="B64" s="78" t="s">
        <v>68</v>
      </c>
      <c r="C64" s="79"/>
      <c r="D64" s="79"/>
      <c r="E64" s="79"/>
      <c r="F64" s="79"/>
      <c r="G64" s="79"/>
      <c r="H64" s="79"/>
      <c r="I64" s="79">
        <v>20</v>
      </c>
      <c r="J64" s="79"/>
      <c r="K64" s="79">
        <v>23</v>
      </c>
      <c r="L64" s="79">
        <v>32</v>
      </c>
      <c r="M64" s="79"/>
      <c r="N64" s="79"/>
      <c r="O64" s="77" t="s">
        <v>285</v>
      </c>
      <c r="P64" s="80">
        <f t="shared" si="0"/>
        <v>75</v>
      </c>
      <c r="Q64" s="80">
        <f t="shared" si="1"/>
        <v>12.5</v>
      </c>
      <c r="R64" s="80">
        <f t="shared" si="2"/>
        <v>2.5</v>
      </c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</row>
    <row r="65" spans="1:33" x14ac:dyDescent="0.25">
      <c r="A65" s="77">
        <v>3</v>
      </c>
      <c r="B65" s="78" t="s">
        <v>286</v>
      </c>
      <c r="C65" s="79"/>
      <c r="D65" s="79"/>
      <c r="E65" s="79"/>
      <c r="F65" s="79"/>
      <c r="G65" s="79"/>
      <c r="H65" s="79"/>
      <c r="I65" s="79">
        <v>20</v>
      </c>
      <c r="J65" s="79">
        <v>17</v>
      </c>
      <c r="K65" s="79">
        <v>32</v>
      </c>
      <c r="L65" s="79">
        <v>25</v>
      </c>
      <c r="M65" s="79">
        <v>37</v>
      </c>
      <c r="N65" s="79">
        <v>41</v>
      </c>
      <c r="O65" s="77" t="s">
        <v>287</v>
      </c>
      <c r="P65" s="80">
        <f t="shared" si="0"/>
        <v>172</v>
      </c>
      <c r="Q65" s="80">
        <f t="shared" si="1"/>
        <v>28.666666666666668</v>
      </c>
      <c r="R65" s="80">
        <f t="shared" si="2"/>
        <v>5.7333333333333343</v>
      </c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1:33" x14ac:dyDescent="0.25">
      <c r="A66" s="77">
        <v>4</v>
      </c>
      <c r="B66" s="78" t="s">
        <v>69</v>
      </c>
      <c r="C66" s="79">
        <v>29</v>
      </c>
      <c r="D66" s="79">
        <v>42</v>
      </c>
      <c r="E66" s="79">
        <v>31</v>
      </c>
      <c r="F66" s="79">
        <v>31</v>
      </c>
      <c r="G66" s="79">
        <v>30</v>
      </c>
      <c r="H66" s="79">
        <v>29</v>
      </c>
      <c r="I66" s="79">
        <v>15</v>
      </c>
      <c r="J66" s="79">
        <v>20</v>
      </c>
      <c r="K66" s="79">
        <v>29</v>
      </c>
      <c r="L66" s="79">
        <v>32</v>
      </c>
      <c r="M66" s="79">
        <v>34</v>
      </c>
      <c r="N66" s="79">
        <v>34</v>
      </c>
      <c r="O66" s="77" t="s">
        <v>287</v>
      </c>
      <c r="P66" s="80">
        <f t="shared" si="0"/>
        <v>356</v>
      </c>
      <c r="Q66" s="80">
        <f t="shared" si="1"/>
        <v>59.333333333333336</v>
      </c>
      <c r="R66" s="80">
        <f t="shared" si="2"/>
        <v>11.866666666666667</v>
      </c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1:33" x14ac:dyDescent="0.25">
      <c r="A67" s="77">
        <v>5</v>
      </c>
      <c r="B67" s="78" t="s">
        <v>288</v>
      </c>
      <c r="C67" s="79"/>
      <c r="D67" s="79"/>
      <c r="E67" s="79"/>
      <c r="F67" s="79"/>
      <c r="G67" s="79"/>
      <c r="H67" s="79"/>
      <c r="I67" s="79">
        <v>18</v>
      </c>
      <c r="J67" s="79">
        <v>23</v>
      </c>
      <c r="K67" s="79">
        <v>36</v>
      </c>
      <c r="L67" s="79">
        <v>31</v>
      </c>
      <c r="M67" s="79">
        <v>34</v>
      </c>
      <c r="N67" s="79">
        <v>40</v>
      </c>
      <c r="O67" s="77" t="s">
        <v>287</v>
      </c>
      <c r="P67" s="80">
        <f t="shared" ref="P67:P130" si="3">SUM(C67:N67)</f>
        <v>182</v>
      </c>
      <c r="Q67" s="80">
        <f t="shared" ref="Q67:Q130" si="4">(P67/600)*100</f>
        <v>30.333333333333336</v>
      </c>
      <c r="R67" s="80">
        <f t="shared" ref="R67:R130" si="5">Q67*0.2</f>
        <v>6.0666666666666673</v>
      </c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1:33" x14ac:dyDescent="0.25">
      <c r="A68" s="77">
        <v>6</v>
      </c>
      <c r="B68" s="78" t="s">
        <v>289</v>
      </c>
      <c r="C68" s="79"/>
      <c r="D68" s="79"/>
      <c r="E68" s="79"/>
      <c r="F68" s="79"/>
      <c r="G68" s="79"/>
      <c r="H68" s="79"/>
      <c r="I68" s="79">
        <v>36</v>
      </c>
      <c r="J68" s="79">
        <v>38</v>
      </c>
      <c r="K68" s="79">
        <v>38</v>
      </c>
      <c r="L68" s="79">
        <v>36</v>
      </c>
      <c r="M68" s="79">
        <v>48</v>
      </c>
      <c r="N68" s="79">
        <v>47</v>
      </c>
      <c r="O68" s="77" t="s">
        <v>287</v>
      </c>
      <c r="P68" s="80">
        <f t="shared" si="3"/>
        <v>243</v>
      </c>
      <c r="Q68" s="80">
        <f t="shared" si="4"/>
        <v>40.5</v>
      </c>
      <c r="R68" s="80">
        <f t="shared" si="5"/>
        <v>8.1</v>
      </c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1:33" x14ac:dyDescent="0.25">
      <c r="A69" s="77">
        <v>7</v>
      </c>
      <c r="B69" s="78" t="s">
        <v>70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7" t="s">
        <v>285</v>
      </c>
      <c r="P69" s="80">
        <f t="shared" si="3"/>
        <v>0</v>
      </c>
      <c r="Q69" s="80">
        <f t="shared" si="4"/>
        <v>0</v>
      </c>
      <c r="R69" s="80">
        <f t="shared" si="5"/>
        <v>0</v>
      </c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1:33" x14ac:dyDescent="0.25">
      <c r="A70" s="77">
        <v>1</v>
      </c>
      <c r="B70" s="78" t="s">
        <v>71</v>
      </c>
      <c r="C70" s="79">
        <v>33</v>
      </c>
      <c r="D70" s="79">
        <v>43</v>
      </c>
      <c r="E70" s="79">
        <v>35</v>
      </c>
      <c r="F70" s="79">
        <v>29</v>
      </c>
      <c r="G70" s="79">
        <v>18</v>
      </c>
      <c r="H70" s="79"/>
      <c r="I70" s="79">
        <v>27</v>
      </c>
      <c r="J70" s="79">
        <v>24</v>
      </c>
      <c r="K70" s="79">
        <v>46</v>
      </c>
      <c r="L70" s="79">
        <v>38</v>
      </c>
      <c r="M70" s="79"/>
      <c r="N70" s="79"/>
      <c r="O70" s="77" t="s">
        <v>272</v>
      </c>
      <c r="P70" s="80">
        <f t="shared" si="3"/>
        <v>293</v>
      </c>
      <c r="Q70" s="80">
        <f t="shared" si="4"/>
        <v>48.833333333333336</v>
      </c>
      <c r="R70" s="80">
        <f t="shared" si="5"/>
        <v>9.7666666666666675</v>
      </c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x14ac:dyDescent="0.25">
      <c r="A71" s="77">
        <v>2</v>
      </c>
      <c r="B71" s="78" t="s">
        <v>72</v>
      </c>
      <c r="C71" s="79">
        <v>15</v>
      </c>
      <c r="D71" s="79">
        <v>35</v>
      </c>
      <c r="E71" s="79">
        <v>19</v>
      </c>
      <c r="F71" s="79">
        <v>20</v>
      </c>
      <c r="G71" s="79">
        <v>17</v>
      </c>
      <c r="H71" s="79">
        <v>22</v>
      </c>
      <c r="I71" s="79">
        <v>16</v>
      </c>
      <c r="J71" s="79">
        <v>16</v>
      </c>
      <c r="K71" s="79">
        <v>22</v>
      </c>
      <c r="L71" s="79">
        <v>21</v>
      </c>
      <c r="M71" s="79">
        <v>31</v>
      </c>
      <c r="N71" s="79">
        <v>37</v>
      </c>
      <c r="O71" s="77" t="s">
        <v>272</v>
      </c>
      <c r="P71" s="80">
        <f t="shared" si="3"/>
        <v>271</v>
      </c>
      <c r="Q71" s="80">
        <f t="shared" si="4"/>
        <v>45.166666666666664</v>
      </c>
      <c r="R71" s="80">
        <f t="shared" si="5"/>
        <v>9.0333333333333332</v>
      </c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1:33" x14ac:dyDescent="0.25">
      <c r="A72" s="77">
        <v>3</v>
      </c>
      <c r="B72" s="78" t="s">
        <v>73</v>
      </c>
      <c r="C72" s="79">
        <v>42</v>
      </c>
      <c r="D72" s="79">
        <v>39</v>
      </c>
      <c r="E72" s="79">
        <v>29</v>
      </c>
      <c r="F72" s="79"/>
      <c r="G72" s="79"/>
      <c r="H72" s="79">
        <v>24</v>
      </c>
      <c r="I72" s="79">
        <v>19</v>
      </c>
      <c r="J72" s="79">
        <v>21</v>
      </c>
      <c r="K72" s="79">
        <v>34</v>
      </c>
      <c r="L72" s="79">
        <v>34</v>
      </c>
      <c r="M72" s="79"/>
      <c r="N72" s="79"/>
      <c r="O72" s="77" t="s">
        <v>272</v>
      </c>
      <c r="P72" s="80">
        <f t="shared" si="3"/>
        <v>242</v>
      </c>
      <c r="Q72" s="80">
        <f t="shared" si="4"/>
        <v>40.333333333333329</v>
      </c>
      <c r="R72" s="80">
        <f t="shared" si="5"/>
        <v>8.0666666666666664</v>
      </c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1:33" x14ac:dyDescent="0.25">
      <c r="A73" s="77">
        <v>4</v>
      </c>
      <c r="B73" s="78" t="s">
        <v>74</v>
      </c>
      <c r="C73" s="79">
        <v>33</v>
      </c>
      <c r="D73" s="79">
        <v>41</v>
      </c>
      <c r="E73" s="79"/>
      <c r="F73" s="79">
        <v>29</v>
      </c>
      <c r="G73" s="79"/>
      <c r="H73" s="79"/>
      <c r="I73" s="79"/>
      <c r="J73" s="79">
        <v>18</v>
      </c>
      <c r="K73" s="79">
        <v>29</v>
      </c>
      <c r="L73" s="79">
        <v>30</v>
      </c>
      <c r="M73" s="79">
        <v>32</v>
      </c>
      <c r="N73" s="79">
        <v>41</v>
      </c>
      <c r="O73" s="77" t="s">
        <v>272</v>
      </c>
      <c r="P73" s="80">
        <f t="shared" si="3"/>
        <v>253</v>
      </c>
      <c r="Q73" s="80">
        <f t="shared" si="4"/>
        <v>42.166666666666671</v>
      </c>
      <c r="R73" s="80">
        <f t="shared" si="5"/>
        <v>8.4333333333333353</v>
      </c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</row>
    <row r="74" spans="1:33" x14ac:dyDescent="0.25">
      <c r="A74" s="77">
        <v>5</v>
      </c>
      <c r="B74" s="78" t="s">
        <v>75</v>
      </c>
      <c r="C74" s="79">
        <v>47</v>
      </c>
      <c r="D74" s="79">
        <v>48</v>
      </c>
      <c r="E74" s="79">
        <v>46</v>
      </c>
      <c r="F74" s="79">
        <v>47</v>
      </c>
      <c r="G74" s="79">
        <v>46</v>
      </c>
      <c r="H74" s="79">
        <v>45</v>
      </c>
      <c r="I74" s="79">
        <v>43</v>
      </c>
      <c r="J74" s="79">
        <v>42</v>
      </c>
      <c r="K74" s="79">
        <v>50</v>
      </c>
      <c r="L74" s="79">
        <v>48</v>
      </c>
      <c r="M74" s="79">
        <v>49</v>
      </c>
      <c r="N74" s="79">
        <v>50</v>
      </c>
      <c r="O74" s="77" t="s">
        <v>272</v>
      </c>
      <c r="P74" s="80">
        <f t="shared" si="3"/>
        <v>561</v>
      </c>
      <c r="Q74" s="80">
        <f t="shared" si="4"/>
        <v>93.5</v>
      </c>
      <c r="R74" s="80">
        <f t="shared" si="5"/>
        <v>18.7</v>
      </c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1:33" x14ac:dyDescent="0.25">
      <c r="A75" s="77">
        <v>6</v>
      </c>
      <c r="B75" s="78" t="s">
        <v>76</v>
      </c>
      <c r="C75" s="79"/>
      <c r="D75" s="79"/>
      <c r="E75" s="79"/>
      <c r="F75" s="79"/>
      <c r="G75" s="79"/>
      <c r="H75" s="79"/>
      <c r="I75" s="79">
        <v>13</v>
      </c>
      <c r="J75" s="79">
        <v>15</v>
      </c>
      <c r="K75" s="79">
        <v>20</v>
      </c>
      <c r="L75" s="79">
        <v>18</v>
      </c>
      <c r="M75" s="79">
        <v>25</v>
      </c>
      <c r="N75" s="79">
        <v>21</v>
      </c>
      <c r="O75" s="77" t="s">
        <v>272</v>
      </c>
      <c r="P75" s="80">
        <f t="shared" si="3"/>
        <v>112</v>
      </c>
      <c r="Q75" s="80">
        <f t="shared" si="4"/>
        <v>18.666666666666668</v>
      </c>
      <c r="R75" s="80">
        <f t="shared" si="5"/>
        <v>3.7333333333333338</v>
      </c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</row>
    <row r="76" spans="1:33" x14ac:dyDescent="0.25">
      <c r="A76" s="77">
        <v>7</v>
      </c>
      <c r="B76" s="78" t="s">
        <v>77</v>
      </c>
      <c r="C76" s="79">
        <v>43</v>
      </c>
      <c r="D76" s="79">
        <v>48</v>
      </c>
      <c r="E76" s="79">
        <v>44</v>
      </c>
      <c r="F76" s="79">
        <v>47</v>
      </c>
      <c r="G76" s="79">
        <v>37</v>
      </c>
      <c r="H76" s="79">
        <v>26</v>
      </c>
      <c r="I76" s="79">
        <v>40</v>
      </c>
      <c r="J76" s="79">
        <v>34</v>
      </c>
      <c r="K76" s="79">
        <v>43</v>
      </c>
      <c r="L76" s="79">
        <v>39</v>
      </c>
      <c r="M76" s="79">
        <v>44</v>
      </c>
      <c r="N76" s="79">
        <v>22</v>
      </c>
      <c r="O76" s="77" t="s">
        <v>272</v>
      </c>
      <c r="P76" s="80">
        <f t="shared" si="3"/>
        <v>467</v>
      </c>
      <c r="Q76" s="80">
        <f t="shared" si="4"/>
        <v>77.833333333333329</v>
      </c>
      <c r="R76" s="80">
        <f t="shared" si="5"/>
        <v>15.566666666666666</v>
      </c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1:33" x14ac:dyDescent="0.25">
      <c r="A77" s="77">
        <v>8</v>
      </c>
      <c r="B77" s="78" t="s">
        <v>78</v>
      </c>
      <c r="C77" s="79">
        <v>22</v>
      </c>
      <c r="D77" s="79">
        <v>28</v>
      </c>
      <c r="E77" s="79">
        <v>19</v>
      </c>
      <c r="F77" s="79">
        <v>18</v>
      </c>
      <c r="G77" s="79">
        <v>12</v>
      </c>
      <c r="H77" s="79">
        <v>20</v>
      </c>
      <c r="I77" s="79">
        <v>17</v>
      </c>
      <c r="J77" s="79">
        <v>21</v>
      </c>
      <c r="K77" s="79">
        <v>25</v>
      </c>
      <c r="L77" s="79">
        <v>25</v>
      </c>
      <c r="M77" s="79">
        <v>38</v>
      </c>
      <c r="N77" s="79">
        <v>42</v>
      </c>
      <c r="O77" s="77" t="s">
        <v>272</v>
      </c>
      <c r="P77" s="80">
        <f t="shared" si="3"/>
        <v>287</v>
      </c>
      <c r="Q77" s="80">
        <f t="shared" si="4"/>
        <v>47.833333333333336</v>
      </c>
      <c r="R77" s="80">
        <f t="shared" si="5"/>
        <v>9.5666666666666682</v>
      </c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</row>
    <row r="78" spans="1:33" x14ac:dyDescent="0.25">
      <c r="A78" s="77">
        <v>9</v>
      </c>
      <c r="B78" s="78" t="s">
        <v>79</v>
      </c>
      <c r="C78" s="79">
        <v>22</v>
      </c>
      <c r="D78" s="79">
        <v>36</v>
      </c>
      <c r="E78" s="79">
        <v>18</v>
      </c>
      <c r="F78" s="79">
        <v>26</v>
      </c>
      <c r="G78" s="79">
        <v>14</v>
      </c>
      <c r="H78" s="79">
        <v>24</v>
      </c>
      <c r="I78" s="79">
        <v>15</v>
      </c>
      <c r="J78" s="79">
        <v>21</v>
      </c>
      <c r="K78" s="79">
        <v>23</v>
      </c>
      <c r="L78" s="79">
        <v>22</v>
      </c>
      <c r="M78" s="79">
        <v>30</v>
      </c>
      <c r="N78" s="79">
        <v>32</v>
      </c>
      <c r="O78" s="77" t="s">
        <v>272</v>
      </c>
      <c r="P78" s="80">
        <f t="shared" si="3"/>
        <v>283</v>
      </c>
      <c r="Q78" s="80">
        <f t="shared" si="4"/>
        <v>47.166666666666671</v>
      </c>
      <c r="R78" s="80">
        <f t="shared" si="5"/>
        <v>9.4333333333333353</v>
      </c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1:33" x14ac:dyDescent="0.25">
      <c r="A79" s="77">
        <v>10</v>
      </c>
      <c r="B79" s="78" t="s">
        <v>80</v>
      </c>
      <c r="C79" s="79">
        <v>14</v>
      </c>
      <c r="D79" s="79">
        <v>28</v>
      </c>
      <c r="E79" s="79">
        <v>21</v>
      </c>
      <c r="F79" s="79">
        <v>22</v>
      </c>
      <c r="G79" s="79">
        <v>19</v>
      </c>
      <c r="H79" s="79">
        <v>13</v>
      </c>
      <c r="I79" s="79">
        <v>12</v>
      </c>
      <c r="J79" s="79">
        <v>19</v>
      </c>
      <c r="K79" s="79">
        <v>23</v>
      </c>
      <c r="L79" s="79">
        <v>24</v>
      </c>
      <c r="M79" s="79">
        <v>31</v>
      </c>
      <c r="N79" s="79">
        <v>32</v>
      </c>
      <c r="O79" s="77" t="s">
        <v>272</v>
      </c>
      <c r="P79" s="80">
        <f t="shared" si="3"/>
        <v>258</v>
      </c>
      <c r="Q79" s="80">
        <f t="shared" si="4"/>
        <v>43</v>
      </c>
      <c r="R79" s="80">
        <f t="shared" si="5"/>
        <v>8.6</v>
      </c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1:33" x14ac:dyDescent="0.25">
      <c r="A80" s="77">
        <v>11</v>
      </c>
      <c r="B80" s="78" t="s">
        <v>81</v>
      </c>
      <c r="C80" s="79"/>
      <c r="D80" s="79"/>
      <c r="E80" s="79"/>
      <c r="F80" s="79"/>
      <c r="G80" s="79"/>
      <c r="H80" s="79"/>
      <c r="I80" s="79">
        <v>16</v>
      </c>
      <c r="J80" s="79"/>
      <c r="K80" s="79">
        <v>19</v>
      </c>
      <c r="L80" s="79"/>
      <c r="M80" s="79"/>
      <c r="N80" s="79"/>
      <c r="O80" s="77" t="s">
        <v>272</v>
      </c>
      <c r="P80" s="80">
        <f t="shared" si="3"/>
        <v>35</v>
      </c>
      <c r="Q80" s="80">
        <f t="shared" si="4"/>
        <v>5.833333333333333</v>
      </c>
      <c r="R80" s="80">
        <f t="shared" si="5"/>
        <v>1.1666666666666667</v>
      </c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1:33" x14ac:dyDescent="0.25">
      <c r="A81" s="77">
        <v>12</v>
      </c>
      <c r="B81" s="78" t="s">
        <v>82</v>
      </c>
      <c r="C81" s="79">
        <v>35</v>
      </c>
      <c r="D81" s="79">
        <v>31</v>
      </c>
      <c r="E81" s="79">
        <v>16</v>
      </c>
      <c r="F81" s="79">
        <v>30</v>
      </c>
      <c r="G81" s="79">
        <v>28</v>
      </c>
      <c r="H81" s="79">
        <v>14</v>
      </c>
      <c r="I81" s="79">
        <v>10</v>
      </c>
      <c r="J81" s="79">
        <v>13</v>
      </c>
      <c r="K81" s="79">
        <v>30</v>
      </c>
      <c r="L81" s="79">
        <v>16</v>
      </c>
      <c r="M81" s="79">
        <v>28</v>
      </c>
      <c r="N81" s="79">
        <v>34</v>
      </c>
      <c r="O81" s="77" t="s">
        <v>272</v>
      </c>
      <c r="P81" s="80">
        <f t="shared" si="3"/>
        <v>285</v>
      </c>
      <c r="Q81" s="80">
        <f t="shared" si="4"/>
        <v>47.5</v>
      </c>
      <c r="R81" s="80">
        <f t="shared" si="5"/>
        <v>9.5</v>
      </c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x14ac:dyDescent="0.25">
      <c r="A82" s="77">
        <v>13</v>
      </c>
      <c r="B82" s="78" t="s">
        <v>83</v>
      </c>
      <c r="C82" s="79">
        <v>11</v>
      </c>
      <c r="D82" s="79">
        <v>28</v>
      </c>
      <c r="E82" s="79"/>
      <c r="F82" s="79">
        <v>26</v>
      </c>
      <c r="G82" s="79">
        <v>15</v>
      </c>
      <c r="H82" s="79">
        <v>14</v>
      </c>
      <c r="I82" s="79">
        <v>15</v>
      </c>
      <c r="J82" s="79">
        <v>14</v>
      </c>
      <c r="K82" s="79">
        <v>18</v>
      </c>
      <c r="L82" s="79">
        <v>25</v>
      </c>
      <c r="M82" s="79">
        <v>23</v>
      </c>
      <c r="N82" s="79">
        <v>30</v>
      </c>
      <c r="O82" s="77" t="s">
        <v>272</v>
      </c>
      <c r="P82" s="80">
        <f t="shared" si="3"/>
        <v>219</v>
      </c>
      <c r="Q82" s="80">
        <f t="shared" si="4"/>
        <v>36.5</v>
      </c>
      <c r="R82" s="80">
        <f t="shared" si="5"/>
        <v>7.3000000000000007</v>
      </c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x14ac:dyDescent="0.25">
      <c r="A83" s="77">
        <v>14</v>
      </c>
      <c r="B83" s="78" t="s">
        <v>84</v>
      </c>
      <c r="C83" s="79">
        <v>30</v>
      </c>
      <c r="D83" s="79">
        <v>41</v>
      </c>
      <c r="E83" s="79">
        <v>31</v>
      </c>
      <c r="F83" s="79">
        <v>25</v>
      </c>
      <c r="G83" s="79">
        <v>30</v>
      </c>
      <c r="H83" s="79">
        <v>22</v>
      </c>
      <c r="I83" s="79">
        <v>36</v>
      </c>
      <c r="J83" s="79">
        <v>25</v>
      </c>
      <c r="K83" s="79">
        <v>48</v>
      </c>
      <c r="L83" s="79">
        <v>44</v>
      </c>
      <c r="M83" s="79">
        <v>44</v>
      </c>
      <c r="N83" s="79">
        <v>45</v>
      </c>
      <c r="O83" s="77" t="s">
        <v>272</v>
      </c>
      <c r="P83" s="80">
        <f t="shared" si="3"/>
        <v>421</v>
      </c>
      <c r="Q83" s="80">
        <f t="shared" si="4"/>
        <v>70.166666666666671</v>
      </c>
      <c r="R83" s="80">
        <f t="shared" si="5"/>
        <v>14.033333333333335</v>
      </c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x14ac:dyDescent="0.25">
      <c r="A84" s="77">
        <v>15</v>
      </c>
      <c r="B84" s="78" t="s">
        <v>85</v>
      </c>
      <c r="C84" s="79">
        <v>43</v>
      </c>
      <c r="D84" s="79">
        <v>42</v>
      </c>
      <c r="E84" s="79">
        <v>39</v>
      </c>
      <c r="F84" s="79">
        <v>33</v>
      </c>
      <c r="G84" s="79">
        <v>35</v>
      </c>
      <c r="H84" s="79">
        <v>37</v>
      </c>
      <c r="I84" s="79">
        <v>38</v>
      </c>
      <c r="J84" s="79">
        <v>38</v>
      </c>
      <c r="K84" s="79">
        <v>50</v>
      </c>
      <c r="L84" s="79">
        <v>39</v>
      </c>
      <c r="M84" s="79">
        <v>43</v>
      </c>
      <c r="N84" s="79">
        <v>50</v>
      </c>
      <c r="O84" s="77" t="s">
        <v>272</v>
      </c>
      <c r="P84" s="80">
        <f t="shared" si="3"/>
        <v>487</v>
      </c>
      <c r="Q84" s="80">
        <f t="shared" si="4"/>
        <v>81.166666666666671</v>
      </c>
      <c r="R84" s="80">
        <f t="shared" si="5"/>
        <v>16.233333333333334</v>
      </c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x14ac:dyDescent="0.25">
      <c r="A85" s="77">
        <v>16</v>
      </c>
      <c r="B85" s="78" t="s">
        <v>86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7" t="s">
        <v>272</v>
      </c>
      <c r="P85" s="80">
        <f t="shared" si="3"/>
        <v>0</v>
      </c>
      <c r="Q85" s="80">
        <f t="shared" si="4"/>
        <v>0</v>
      </c>
      <c r="R85" s="80">
        <f t="shared" si="5"/>
        <v>0</v>
      </c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x14ac:dyDescent="0.25">
      <c r="A86" s="77">
        <v>17</v>
      </c>
      <c r="B86" s="78" t="s">
        <v>87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7" t="s">
        <v>272</v>
      </c>
      <c r="P86" s="80">
        <f t="shared" si="3"/>
        <v>0</v>
      </c>
      <c r="Q86" s="80">
        <f t="shared" si="4"/>
        <v>0</v>
      </c>
      <c r="R86" s="80">
        <f t="shared" si="5"/>
        <v>0</v>
      </c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x14ac:dyDescent="0.25">
      <c r="A87" s="77">
        <v>18</v>
      </c>
      <c r="B87" s="78" t="s">
        <v>88</v>
      </c>
      <c r="C87" s="79">
        <v>47</v>
      </c>
      <c r="D87" s="79">
        <v>48</v>
      </c>
      <c r="E87" s="79">
        <v>44</v>
      </c>
      <c r="F87" s="79">
        <v>45</v>
      </c>
      <c r="G87" s="79">
        <v>44</v>
      </c>
      <c r="H87" s="79">
        <v>45</v>
      </c>
      <c r="I87" s="79">
        <v>41</v>
      </c>
      <c r="J87" s="79">
        <v>36</v>
      </c>
      <c r="K87" s="79">
        <v>50</v>
      </c>
      <c r="L87" s="79">
        <v>47</v>
      </c>
      <c r="M87" s="79">
        <v>48</v>
      </c>
      <c r="N87" s="79">
        <v>50</v>
      </c>
      <c r="O87" s="77" t="s">
        <v>272</v>
      </c>
      <c r="P87" s="80">
        <f t="shared" si="3"/>
        <v>545</v>
      </c>
      <c r="Q87" s="80">
        <f t="shared" si="4"/>
        <v>90.833333333333329</v>
      </c>
      <c r="R87" s="80">
        <f t="shared" si="5"/>
        <v>18.166666666666668</v>
      </c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x14ac:dyDescent="0.25">
      <c r="A88" s="77">
        <v>19</v>
      </c>
      <c r="B88" s="78" t="s">
        <v>89</v>
      </c>
      <c r="C88" s="79">
        <v>28</v>
      </c>
      <c r="D88" s="79">
        <v>39</v>
      </c>
      <c r="E88" s="79">
        <v>27</v>
      </c>
      <c r="F88" s="79">
        <v>9</v>
      </c>
      <c r="G88" s="79">
        <v>15</v>
      </c>
      <c r="H88" s="79">
        <v>23</v>
      </c>
      <c r="I88" s="79">
        <v>25</v>
      </c>
      <c r="J88" s="79">
        <v>18</v>
      </c>
      <c r="K88" s="79">
        <v>23</v>
      </c>
      <c r="L88" s="79">
        <v>19</v>
      </c>
      <c r="M88" s="79">
        <v>42</v>
      </c>
      <c r="N88" s="79">
        <v>42</v>
      </c>
      <c r="O88" s="77" t="s">
        <v>272</v>
      </c>
      <c r="P88" s="80">
        <f t="shared" si="3"/>
        <v>310</v>
      </c>
      <c r="Q88" s="80">
        <f t="shared" si="4"/>
        <v>51.666666666666671</v>
      </c>
      <c r="R88" s="80">
        <f t="shared" si="5"/>
        <v>10.333333333333336</v>
      </c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x14ac:dyDescent="0.25">
      <c r="A89" s="77">
        <v>20</v>
      </c>
      <c r="B89" s="78" t="s">
        <v>90</v>
      </c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7" t="s">
        <v>272</v>
      </c>
      <c r="P89" s="80">
        <f t="shared" si="3"/>
        <v>0</v>
      </c>
      <c r="Q89" s="80">
        <f t="shared" si="4"/>
        <v>0</v>
      </c>
      <c r="R89" s="80">
        <f t="shared" si="5"/>
        <v>0</v>
      </c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x14ac:dyDescent="0.25">
      <c r="A90" s="77">
        <v>21</v>
      </c>
      <c r="B90" s="78" t="s">
        <v>91</v>
      </c>
      <c r="C90" s="79">
        <v>39</v>
      </c>
      <c r="D90" s="79">
        <v>46</v>
      </c>
      <c r="E90" s="79">
        <v>39</v>
      </c>
      <c r="F90" s="79">
        <v>44</v>
      </c>
      <c r="G90" s="79">
        <v>26</v>
      </c>
      <c r="H90" s="79"/>
      <c r="I90" s="79">
        <v>43</v>
      </c>
      <c r="J90" s="79">
        <v>41</v>
      </c>
      <c r="K90" s="79">
        <v>48</v>
      </c>
      <c r="L90" s="79">
        <v>48</v>
      </c>
      <c r="M90" s="79">
        <v>44</v>
      </c>
      <c r="N90" s="79">
        <v>50</v>
      </c>
      <c r="O90" s="77" t="s">
        <v>272</v>
      </c>
      <c r="P90" s="80">
        <f t="shared" si="3"/>
        <v>468</v>
      </c>
      <c r="Q90" s="80">
        <f t="shared" si="4"/>
        <v>78</v>
      </c>
      <c r="R90" s="80">
        <f t="shared" si="5"/>
        <v>15.600000000000001</v>
      </c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x14ac:dyDescent="0.25">
      <c r="A91" s="77">
        <v>22</v>
      </c>
      <c r="B91" s="78" t="s">
        <v>92</v>
      </c>
      <c r="C91" s="79">
        <v>16</v>
      </c>
      <c r="D91" s="79">
        <v>17</v>
      </c>
      <c r="E91" s="79">
        <v>6</v>
      </c>
      <c r="F91" s="79">
        <v>38</v>
      </c>
      <c r="G91" s="79">
        <v>13</v>
      </c>
      <c r="H91" s="79">
        <v>13</v>
      </c>
      <c r="I91" s="79"/>
      <c r="J91" s="79"/>
      <c r="K91" s="79"/>
      <c r="L91" s="79"/>
      <c r="M91" s="79"/>
      <c r="N91" s="79"/>
      <c r="O91" s="77" t="s">
        <v>272</v>
      </c>
      <c r="P91" s="80">
        <f t="shared" si="3"/>
        <v>103</v>
      </c>
      <c r="Q91" s="80">
        <f t="shared" si="4"/>
        <v>17.166666666666668</v>
      </c>
      <c r="R91" s="80">
        <f t="shared" si="5"/>
        <v>3.4333333333333336</v>
      </c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x14ac:dyDescent="0.25">
      <c r="A92" s="77">
        <v>23</v>
      </c>
      <c r="B92" s="78" t="s">
        <v>93</v>
      </c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7" t="s">
        <v>272</v>
      </c>
      <c r="P92" s="80">
        <f t="shared" si="3"/>
        <v>0</v>
      </c>
      <c r="Q92" s="80">
        <f t="shared" si="4"/>
        <v>0</v>
      </c>
      <c r="R92" s="80">
        <f t="shared" si="5"/>
        <v>0</v>
      </c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x14ac:dyDescent="0.25">
      <c r="A93" s="77">
        <v>24</v>
      </c>
      <c r="B93" s="78" t="s">
        <v>94</v>
      </c>
      <c r="C93" s="79">
        <v>45</v>
      </c>
      <c r="D93" s="79">
        <v>42</v>
      </c>
      <c r="E93" s="79"/>
      <c r="F93" s="79">
        <v>43</v>
      </c>
      <c r="G93" s="79">
        <v>34</v>
      </c>
      <c r="H93" s="79">
        <v>41</v>
      </c>
      <c r="I93" s="79">
        <v>42</v>
      </c>
      <c r="J93" s="79">
        <v>43</v>
      </c>
      <c r="K93" s="79">
        <v>50</v>
      </c>
      <c r="L93" s="79">
        <v>45</v>
      </c>
      <c r="M93" s="79">
        <v>48</v>
      </c>
      <c r="N93" s="79">
        <v>50</v>
      </c>
      <c r="O93" s="77" t="s">
        <v>272</v>
      </c>
      <c r="P93" s="80">
        <f t="shared" si="3"/>
        <v>483</v>
      </c>
      <c r="Q93" s="80">
        <f t="shared" si="4"/>
        <v>80.5</v>
      </c>
      <c r="R93" s="80">
        <f t="shared" si="5"/>
        <v>16.100000000000001</v>
      </c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x14ac:dyDescent="0.25">
      <c r="A94" s="77">
        <v>25</v>
      </c>
      <c r="B94" s="78" t="s">
        <v>95</v>
      </c>
      <c r="C94" s="79">
        <v>48</v>
      </c>
      <c r="D94" s="79">
        <v>49</v>
      </c>
      <c r="E94" s="79">
        <v>46</v>
      </c>
      <c r="F94" s="79">
        <v>47</v>
      </c>
      <c r="G94" s="79">
        <v>44</v>
      </c>
      <c r="H94" s="79">
        <v>46</v>
      </c>
      <c r="I94" s="79">
        <v>44</v>
      </c>
      <c r="J94" s="79">
        <v>42</v>
      </c>
      <c r="K94" s="79">
        <v>49</v>
      </c>
      <c r="L94" s="79">
        <v>48</v>
      </c>
      <c r="M94" s="79">
        <v>48</v>
      </c>
      <c r="N94" s="79">
        <v>49</v>
      </c>
      <c r="O94" s="77" t="s">
        <v>272</v>
      </c>
      <c r="P94" s="80">
        <f t="shared" si="3"/>
        <v>560</v>
      </c>
      <c r="Q94" s="80">
        <f t="shared" si="4"/>
        <v>93.333333333333329</v>
      </c>
      <c r="R94" s="80">
        <f t="shared" si="5"/>
        <v>18.666666666666668</v>
      </c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x14ac:dyDescent="0.25">
      <c r="A95" s="77">
        <v>26</v>
      </c>
      <c r="B95" s="78" t="s">
        <v>96</v>
      </c>
      <c r="C95" s="79"/>
      <c r="D95" s="79"/>
      <c r="E95" s="79"/>
      <c r="F95" s="79"/>
      <c r="G95" s="79"/>
      <c r="H95" s="79"/>
      <c r="I95" s="79"/>
      <c r="J95" s="79">
        <v>36</v>
      </c>
      <c r="K95" s="79">
        <v>42</v>
      </c>
      <c r="L95" s="79">
        <v>40</v>
      </c>
      <c r="M95" s="79">
        <v>33</v>
      </c>
      <c r="N95" s="79">
        <v>46</v>
      </c>
      <c r="O95" s="77" t="s">
        <v>272</v>
      </c>
      <c r="P95" s="80">
        <f t="shared" si="3"/>
        <v>197</v>
      </c>
      <c r="Q95" s="80">
        <f t="shared" si="4"/>
        <v>32.833333333333329</v>
      </c>
      <c r="R95" s="80">
        <f t="shared" si="5"/>
        <v>6.5666666666666664</v>
      </c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x14ac:dyDescent="0.25">
      <c r="A96" s="77">
        <v>27</v>
      </c>
      <c r="B96" s="78" t="s">
        <v>97</v>
      </c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7" t="s">
        <v>272</v>
      </c>
      <c r="P96" s="80">
        <f t="shared" si="3"/>
        <v>0</v>
      </c>
      <c r="Q96" s="80">
        <f t="shared" si="4"/>
        <v>0</v>
      </c>
      <c r="R96" s="80">
        <f t="shared" si="5"/>
        <v>0</v>
      </c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x14ac:dyDescent="0.25">
      <c r="A97" s="77">
        <v>28</v>
      </c>
      <c r="B97" s="78" t="s">
        <v>98</v>
      </c>
      <c r="C97" s="79">
        <v>28</v>
      </c>
      <c r="D97" s="79">
        <v>37</v>
      </c>
      <c r="E97" s="79">
        <v>36</v>
      </c>
      <c r="F97" s="79">
        <v>37</v>
      </c>
      <c r="G97" s="79">
        <v>29</v>
      </c>
      <c r="H97" s="79">
        <v>35</v>
      </c>
      <c r="I97" s="79">
        <v>34</v>
      </c>
      <c r="J97" s="79">
        <v>19</v>
      </c>
      <c r="K97" s="79">
        <v>36</v>
      </c>
      <c r="L97" s="79">
        <v>32</v>
      </c>
      <c r="M97" s="79">
        <v>44</v>
      </c>
      <c r="N97" s="79">
        <v>38</v>
      </c>
      <c r="O97" s="77" t="s">
        <v>272</v>
      </c>
      <c r="P97" s="80">
        <f t="shared" si="3"/>
        <v>405</v>
      </c>
      <c r="Q97" s="80">
        <f t="shared" si="4"/>
        <v>67.5</v>
      </c>
      <c r="R97" s="80">
        <f t="shared" si="5"/>
        <v>13.5</v>
      </c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x14ac:dyDescent="0.25">
      <c r="A98" s="77">
        <v>29</v>
      </c>
      <c r="B98" s="78" t="s">
        <v>99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7" t="s">
        <v>272</v>
      </c>
      <c r="P98" s="80">
        <f t="shared" si="3"/>
        <v>0</v>
      </c>
      <c r="Q98" s="80">
        <f t="shared" si="4"/>
        <v>0</v>
      </c>
      <c r="R98" s="80">
        <f t="shared" si="5"/>
        <v>0</v>
      </c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x14ac:dyDescent="0.25">
      <c r="A99" s="77">
        <v>30</v>
      </c>
      <c r="B99" s="78" t="s">
        <v>100</v>
      </c>
      <c r="C99" s="79">
        <v>24</v>
      </c>
      <c r="D99" s="79">
        <v>34</v>
      </c>
      <c r="E99" s="79">
        <v>29</v>
      </c>
      <c r="F99" s="79">
        <v>28</v>
      </c>
      <c r="G99" s="79">
        <v>24</v>
      </c>
      <c r="H99" s="79">
        <v>23</v>
      </c>
      <c r="I99" s="79">
        <v>24</v>
      </c>
      <c r="J99" s="79">
        <v>24</v>
      </c>
      <c r="K99" s="79">
        <v>35</v>
      </c>
      <c r="L99" s="79">
        <v>30</v>
      </c>
      <c r="M99" s="79">
        <v>41</v>
      </c>
      <c r="N99" s="79">
        <v>41</v>
      </c>
      <c r="O99" s="77" t="s">
        <v>272</v>
      </c>
      <c r="P99" s="80">
        <f t="shared" si="3"/>
        <v>357</v>
      </c>
      <c r="Q99" s="80">
        <f t="shared" si="4"/>
        <v>59.5</v>
      </c>
      <c r="R99" s="80">
        <f t="shared" si="5"/>
        <v>11.9</v>
      </c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x14ac:dyDescent="0.25">
      <c r="A100" s="77">
        <v>31</v>
      </c>
      <c r="B100" s="78" t="s">
        <v>101</v>
      </c>
      <c r="C100" s="79">
        <v>10</v>
      </c>
      <c r="D100" s="79">
        <v>24</v>
      </c>
      <c r="E100" s="79">
        <v>10</v>
      </c>
      <c r="F100" s="79">
        <v>17</v>
      </c>
      <c r="G100" s="79">
        <v>14</v>
      </c>
      <c r="H100" s="79">
        <v>15</v>
      </c>
      <c r="I100" s="79">
        <v>17</v>
      </c>
      <c r="J100" s="79">
        <v>19</v>
      </c>
      <c r="K100" s="79">
        <v>16</v>
      </c>
      <c r="L100" s="79">
        <v>24</v>
      </c>
      <c r="M100" s="79">
        <v>29</v>
      </c>
      <c r="N100" s="79">
        <v>30</v>
      </c>
      <c r="O100" s="77" t="s">
        <v>272</v>
      </c>
      <c r="P100" s="80">
        <f t="shared" si="3"/>
        <v>225</v>
      </c>
      <c r="Q100" s="80">
        <f t="shared" si="4"/>
        <v>37.5</v>
      </c>
      <c r="R100" s="80">
        <f t="shared" si="5"/>
        <v>7.5</v>
      </c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x14ac:dyDescent="0.25">
      <c r="A101" s="77">
        <v>1</v>
      </c>
      <c r="B101" s="78" t="s">
        <v>102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7" t="s">
        <v>273</v>
      </c>
      <c r="P101" s="80">
        <f t="shared" si="3"/>
        <v>0</v>
      </c>
      <c r="Q101" s="80">
        <f t="shared" si="4"/>
        <v>0</v>
      </c>
      <c r="R101" s="80">
        <f t="shared" si="5"/>
        <v>0</v>
      </c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x14ac:dyDescent="0.25">
      <c r="A102" s="77">
        <v>2</v>
      </c>
      <c r="B102" s="78" t="s">
        <v>103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7" t="s">
        <v>273</v>
      </c>
      <c r="P102" s="80">
        <f t="shared" si="3"/>
        <v>0</v>
      </c>
      <c r="Q102" s="80">
        <f t="shared" si="4"/>
        <v>0</v>
      </c>
      <c r="R102" s="80">
        <f t="shared" si="5"/>
        <v>0</v>
      </c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x14ac:dyDescent="0.25">
      <c r="A103" s="77">
        <v>3</v>
      </c>
      <c r="B103" s="78" t="s">
        <v>104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7" t="s">
        <v>273</v>
      </c>
      <c r="P103" s="80">
        <f t="shared" si="3"/>
        <v>0</v>
      </c>
      <c r="Q103" s="80">
        <f t="shared" si="4"/>
        <v>0</v>
      </c>
      <c r="R103" s="80">
        <f t="shared" si="5"/>
        <v>0</v>
      </c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x14ac:dyDescent="0.25">
      <c r="A104" s="77">
        <v>4</v>
      </c>
      <c r="B104" s="78" t="s">
        <v>105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7" t="s">
        <v>273</v>
      </c>
      <c r="P104" s="80">
        <f t="shared" si="3"/>
        <v>0</v>
      </c>
      <c r="Q104" s="80">
        <f t="shared" si="4"/>
        <v>0</v>
      </c>
      <c r="R104" s="80">
        <f t="shared" si="5"/>
        <v>0</v>
      </c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x14ac:dyDescent="0.25">
      <c r="A105" s="77">
        <v>5</v>
      </c>
      <c r="B105" s="78" t="s">
        <v>106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7" t="s">
        <v>273</v>
      </c>
      <c r="P105" s="80">
        <f t="shared" si="3"/>
        <v>0</v>
      </c>
      <c r="Q105" s="80">
        <f t="shared" si="4"/>
        <v>0</v>
      </c>
      <c r="R105" s="80">
        <f t="shared" si="5"/>
        <v>0</v>
      </c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x14ac:dyDescent="0.25">
      <c r="A106" s="77">
        <v>6</v>
      </c>
      <c r="B106" s="78" t="s">
        <v>107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7" t="s">
        <v>273</v>
      </c>
      <c r="P106" s="80">
        <f t="shared" si="3"/>
        <v>0</v>
      </c>
      <c r="Q106" s="80">
        <f t="shared" si="4"/>
        <v>0</v>
      </c>
      <c r="R106" s="80">
        <f t="shared" si="5"/>
        <v>0</v>
      </c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x14ac:dyDescent="0.25">
      <c r="A107" s="77">
        <v>7</v>
      </c>
      <c r="B107" s="78" t="s">
        <v>108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7" t="s">
        <v>273</v>
      </c>
      <c r="P107" s="80">
        <f t="shared" si="3"/>
        <v>0</v>
      </c>
      <c r="Q107" s="80">
        <f t="shared" si="4"/>
        <v>0</v>
      </c>
      <c r="R107" s="80">
        <f t="shared" si="5"/>
        <v>0</v>
      </c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x14ac:dyDescent="0.25">
      <c r="A108" s="77">
        <v>8</v>
      </c>
      <c r="B108" s="78" t="s">
        <v>109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7" t="s">
        <v>273</v>
      </c>
      <c r="P108" s="80">
        <f t="shared" si="3"/>
        <v>0</v>
      </c>
      <c r="Q108" s="80">
        <f t="shared" si="4"/>
        <v>0</v>
      </c>
      <c r="R108" s="80">
        <f t="shared" si="5"/>
        <v>0</v>
      </c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x14ac:dyDescent="0.25">
      <c r="A109" s="77">
        <v>9</v>
      </c>
      <c r="B109" s="78" t="s">
        <v>110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7" t="s">
        <v>273</v>
      </c>
      <c r="P109" s="80">
        <f t="shared" si="3"/>
        <v>0</v>
      </c>
      <c r="Q109" s="80">
        <f t="shared" si="4"/>
        <v>0</v>
      </c>
      <c r="R109" s="80">
        <f t="shared" si="5"/>
        <v>0</v>
      </c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x14ac:dyDescent="0.25">
      <c r="A110" s="77">
        <v>10</v>
      </c>
      <c r="B110" s="78" t="s">
        <v>111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7" t="s">
        <v>273</v>
      </c>
      <c r="P110" s="80">
        <f t="shared" si="3"/>
        <v>0</v>
      </c>
      <c r="Q110" s="80">
        <f t="shared" si="4"/>
        <v>0</v>
      </c>
      <c r="R110" s="80">
        <f t="shared" si="5"/>
        <v>0</v>
      </c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x14ac:dyDescent="0.25">
      <c r="A111" s="77">
        <v>11</v>
      </c>
      <c r="B111" s="78" t="s">
        <v>112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7" t="s">
        <v>273</v>
      </c>
      <c r="P111" s="80">
        <f t="shared" si="3"/>
        <v>0</v>
      </c>
      <c r="Q111" s="80">
        <f t="shared" si="4"/>
        <v>0</v>
      </c>
      <c r="R111" s="80">
        <f t="shared" si="5"/>
        <v>0</v>
      </c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x14ac:dyDescent="0.25">
      <c r="A112" s="77">
        <v>12</v>
      </c>
      <c r="B112" s="78" t="s">
        <v>113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7" t="s">
        <v>273</v>
      </c>
      <c r="P112" s="80">
        <f t="shared" si="3"/>
        <v>0</v>
      </c>
      <c r="Q112" s="80">
        <f t="shared" si="4"/>
        <v>0</v>
      </c>
      <c r="R112" s="80">
        <f t="shared" si="5"/>
        <v>0</v>
      </c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x14ac:dyDescent="0.25">
      <c r="A113" s="77">
        <v>13</v>
      </c>
      <c r="B113" s="78" t="s">
        <v>114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7" t="s">
        <v>273</v>
      </c>
      <c r="P113" s="80">
        <f t="shared" si="3"/>
        <v>0</v>
      </c>
      <c r="Q113" s="80">
        <f t="shared" si="4"/>
        <v>0</v>
      </c>
      <c r="R113" s="80">
        <f t="shared" si="5"/>
        <v>0</v>
      </c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x14ac:dyDescent="0.25">
      <c r="A114" s="77">
        <v>14</v>
      </c>
      <c r="B114" s="78" t="s">
        <v>115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7" t="s">
        <v>273</v>
      </c>
      <c r="P114" s="80">
        <f t="shared" si="3"/>
        <v>0</v>
      </c>
      <c r="Q114" s="80">
        <f t="shared" si="4"/>
        <v>0</v>
      </c>
      <c r="R114" s="80">
        <f t="shared" si="5"/>
        <v>0</v>
      </c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x14ac:dyDescent="0.25">
      <c r="A115" s="77">
        <v>15</v>
      </c>
      <c r="B115" s="78" t="s">
        <v>116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7" t="s">
        <v>273</v>
      </c>
      <c r="P115" s="80">
        <f t="shared" si="3"/>
        <v>0</v>
      </c>
      <c r="Q115" s="80">
        <f t="shared" si="4"/>
        <v>0</v>
      </c>
      <c r="R115" s="80">
        <f t="shared" si="5"/>
        <v>0</v>
      </c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x14ac:dyDescent="0.25">
      <c r="A116" s="77">
        <v>16</v>
      </c>
      <c r="B116" s="78" t="s">
        <v>117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7" t="s">
        <v>273</v>
      </c>
      <c r="P116" s="80">
        <f t="shared" si="3"/>
        <v>0</v>
      </c>
      <c r="Q116" s="80">
        <f t="shared" si="4"/>
        <v>0</v>
      </c>
      <c r="R116" s="80">
        <f t="shared" si="5"/>
        <v>0</v>
      </c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x14ac:dyDescent="0.25">
      <c r="A117" s="77">
        <v>17</v>
      </c>
      <c r="B117" s="78" t="s">
        <v>118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7" t="s">
        <v>273</v>
      </c>
      <c r="P117" s="80">
        <f t="shared" si="3"/>
        <v>0</v>
      </c>
      <c r="Q117" s="80">
        <f t="shared" si="4"/>
        <v>0</v>
      </c>
      <c r="R117" s="80">
        <f t="shared" si="5"/>
        <v>0</v>
      </c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x14ac:dyDescent="0.25">
      <c r="A118" s="77">
        <v>18</v>
      </c>
      <c r="B118" s="78" t="s">
        <v>119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7" t="s">
        <v>273</v>
      </c>
      <c r="P118" s="80">
        <f t="shared" si="3"/>
        <v>0</v>
      </c>
      <c r="Q118" s="80">
        <f t="shared" si="4"/>
        <v>0</v>
      </c>
      <c r="R118" s="80">
        <f t="shared" si="5"/>
        <v>0</v>
      </c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x14ac:dyDescent="0.25">
      <c r="A119" s="77">
        <v>19</v>
      </c>
      <c r="B119" s="78" t="s">
        <v>120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7" t="s">
        <v>273</v>
      </c>
      <c r="P119" s="80">
        <f t="shared" si="3"/>
        <v>0</v>
      </c>
      <c r="Q119" s="80">
        <f t="shared" si="4"/>
        <v>0</v>
      </c>
      <c r="R119" s="80">
        <f t="shared" si="5"/>
        <v>0</v>
      </c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x14ac:dyDescent="0.25">
      <c r="A120" s="77">
        <v>20</v>
      </c>
      <c r="B120" s="78" t="s">
        <v>121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7" t="s">
        <v>273</v>
      </c>
      <c r="P120" s="80">
        <f t="shared" si="3"/>
        <v>0</v>
      </c>
      <c r="Q120" s="80">
        <f t="shared" si="4"/>
        <v>0</v>
      </c>
      <c r="R120" s="80">
        <f t="shared" si="5"/>
        <v>0</v>
      </c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x14ac:dyDescent="0.25">
      <c r="A121" s="77">
        <v>21</v>
      </c>
      <c r="B121" s="78" t="s">
        <v>122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7" t="s">
        <v>273</v>
      </c>
      <c r="P121" s="80">
        <f t="shared" si="3"/>
        <v>0</v>
      </c>
      <c r="Q121" s="80">
        <f t="shared" si="4"/>
        <v>0</v>
      </c>
      <c r="R121" s="80">
        <f t="shared" si="5"/>
        <v>0</v>
      </c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x14ac:dyDescent="0.25">
      <c r="A122" s="77">
        <v>22</v>
      </c>
      <c r="B122" s="78" t="s">
        <v>123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7" t="s">
        <v>273</v>
      </c>
      <c r="P122" s="80">
        <f t="shared" si="3"/>
        <v>0</v>
      </c>
      <c r="Q122" s="80">
        <f t="shared" si="4"/>
        <v>0</v>
      </c>
      <c r="R122" s="80">
        <f t="shared" si="5"/>
        <v>0</v>
      </c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x14ac:dyDescent="0.25">
      <c r="A123" s="77">
        <v>23</v>
      </c>
      <c r="B123" s="78" t="s">
        <v>124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7" t="s">
        <v>273</v>
      </c>
      <c r="P123" s="80">
        <f t="shared" si="3"/>
        <v>0</v>
      </c>
      <c r="Q123" s="80">
        <f t="shared" si="4"/>
        <v>0</v>
      </c>
      <c r="R123" s="80">
        <f t="shared" si="5"/>
        <v>0</v>
      </c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x14ac:dyDescent="0.25">
      <c r="A124" s="77">
        <v>24</v>
      </c>
      <c r="B124" s="78" t="s">
        <v>125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7" t="s">
        <v>273</v>
      </c>
      <c r="P124" s="80">
        <f t="shared" si="3"/>
        <v>0</v>
      </c>
      <c r="Q124" s="80">
        <f t="shared" si="4"/>
        <v>0</v>
      </c>
      <c r="R124" s="80">
        <f t="shared" si="5"/>
        <v>0</v>
      </c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x14ac:dyDescent="0.25">
      <c r="A125" s="77">
        <v>25</v>
      </c>
      <c r="B125" s="78" t="s">
        <v>126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7" t="s">
        <v>273</v>
      </c>
      <c r="P125" s="80">
        <f t="shared" si="3"/>
        <v>0</v>
      </c>
      <c r="Q125" s="80">
        <f t="shared" si="4"/>
        <v>0</v>
      </c>
      <c r="R125" s="80">
        <f t="shared" si="5"/>
        <v>0</v>
      </c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x14ac:dyDescent="0.25">
      <c r="A126" s="77">
        <v>26</v>
      </c>
      <c r="B126" s="78" t="s">
        <v>127</v>
      </c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7" t="s">
        <v>273</v>
      </c>
      <c r="P126" s="80">
        <f t="shared" si="3"/>
        <v>0</v>
      </c>
      <c r="Q126" s="80">
        <f t="shared" si="4"/>
        <v>0</v>
      </c>
      <c r="R126" s="80">
        <f t="shared" si="5"/>
        <v>0</v>
      </c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x14ac:dyDescent="0.25">
      <c r="A127" s="77">
        <v>27</v>
      </c>
      <c r="B127" s="78" t="s">
        <v>128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7" t="s">
        <v>273</v>
      </c>
      <c r="P127" s="80">
        <f t="shared" si="3"/>
        <v>0</v>
      </c>
      <c r="Q127" s="80">
        <f t="shared" si="4"/>
        <v>0</v>
      </c>
      <c r="R127" s="80">
        <f t="shared" si="5"/>
        <v>0</v>
      </c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x14ac:dyDescent="0.25">
      <c r="A128" s="77">
        <v>28</v>
      </c>
      <c r="B128" s="78" t="s">
        <v>129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7" t="s">
        <v>273</v>
      </c>
      <c r="P128" s="80">
        <f t="shared" si="3"/>
        <v>0</v>
      </c>
      <c r="Q128" s="80">
        <f t="shared" si="4"/>
        <v>0</v>
      </c>
      <c r="R128" s="80">
        <f t="shared" si="5"/>
        <v>0</v>
      </c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x14ac:dyDescent="0.25">
      <c r="A129" s="77">
        <v>29</v>
      </c>
      <c r="B129" s="78" t="s">
        <v>130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7" t="s">
        <v>273</v>
      </c>
      <c r="P129" s="80">
        <f t="shared" si="3"/>
        <v>0</v>
      </c>
      <c r="Q129" s="80">
        <f t="shared" si="4"/>
        <v>0</v>
      </c>
      <c r="R129" s="80">
        <f t="shared" si="5"/>
        <v>0</v>
      </c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x14ac:dyDescent="0.25">
      <c r="A130" s="77">
        <v>30</v>
      </c>
      <c r="B130" s="78" t="s">
        <v>131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7" t="s">
        <v>273</v>
      </c>
      <c r="P130" s="80">
        <f t="shared" si="3"/>
        <v>0</v>
      </c>
      <c r="Q130" s="80">
        <f t="shared" si="4"/>
        <v>0</v>
      </c>
      <c r="R130" s="80">
        <f t="shared" si="5"/>
        <v>0</v>
      </c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</row>
    <row r="131" spans="1:33" x14ac:dyDescent="0.25">
      <c r="A131" s="77">
        <v>31</v>
      </c>
      <c r="B131" s="78" t="s">
        <v>132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7" t="s">
        <v>273</v>
      </c>
      <c r="P131" s="80">
        <f t="shared" ref="P131:P194" si="6">SUM(C131:N131)</f>
        <v>0</v>
      </c>
      <c r="Q131" s="80">
        <f t="shared" ref="Q131:Q194" si="7">(P131/600)*100</f>
        <v>0</v>
      </c>
      <c r="R131" s="80">
        <f t="shared" ref="R131:R194" si="8">Q131*0.2</f>
        <v>0</v>
      </c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</row>
    <row r="132" spans="1:33" x14ac:dyDescent="0.25">
      <c r="A132" s="77">
        <v>32</v>
      </c>
      <c r="B132" s="78" t="s">
        <v>133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7" t="s">
        <v>273</v>
      </c>
      <c r="P132" s="80">
        <f t="shared" si="6"/>
        <v>0</v>
      </c>
      <c r="Q132" s="80">
        <f t="shared" si="7"/>
        <v>0</v>
      </c>
      <c r="R132" s="80">
        <f t="shared" si="8"/>
        <v>0</v>
      </c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</row>
    <row r="133" spans="1:33" x14ac:dyDescent="0.25">
      <c r="A133" s="77">
        <v>33</v>
      </c>
      <c r="B133" s="78" t="s">
        <v>134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7" t="s">
        <v>273</v>
      </c>
      <c r="P133" s="80">
        <f t="shared" si="6"/>
        <v>0</v>
      </c>
      <c r="Q133" s="80">
        <f t="shared" si="7"/>
        <v>0</v>
      </c>
      <c r="R133" s="80">
        <f t="shared" si="8"/>
        <v>0</v>
      </c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</row>
    <row r="134" spans="1:33" x14ac:dyDescent="0.25">
      <c r="A134" s="77">
        <v>34</v>
      </c>
      <c r="B134" s="78" t="s">
        <v>135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7" t="s">
        <v>273</v>
      </c>
      <c r="P134" s="80">
        <f t="shared" si="6"/>
        <v>0</v>
      </c>
      <c r="Q134" s="80">
        <f t="shared" si="7"/>
        <v>0</v>
      </c>
      <c r="R134" s="80">
        <f t="shared" si="8"/>
        <v>0</v>
      </c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1:33" x14ac:dyDescent="0.25">
      <c r="A135" s="77">
        <v>35</v>
      </c>
      <c r="B135" s="78" t="s">
        <v>136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7" t="s">
        <v>273</v>
      </c>
      <c r="P135" s="80">
        <f t="shared" si="6"/>
        <v>0</v>
      </c>
      <c r="Q135" s="80">
        <f t="shared" si="7"/>
        <v>0</v>
      </c>
      <c r="R135" s="80">
        <f t="shared" si="8"/>
        <v>0</v>
      </c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1:33" x14ac:dyDescent="0.25">
      <c r="A136" s="77">
        <v>1</v>
      </c>
      <c r="B136" s="78" t="s">
        <v>137</v>
      </c>
      <c r="C136" s="79">
        <v>37</v>
      </c>
      <c r="D136" s="79">
        <v>42</v>
      </c>
      <c r="E136" s="79">
        <v>24</v>
      </c>
      <c r="F136" s="79">
        <v>21</v>
      </c>
      <c r="G136" s="79">
        <v>18</v>
      </c>
      <c r="H136" s="79">
        <v>14</v>
      </c>
      <c r="I136" s="79">
        <v>17</v>
      </c>
      <c r="J136" s="79">
        <v>16</v>
      </c>
      <c r="K136" s="79">
        <v>33</v>
      </c>
      <c r="L136" s="79">
        <v>24</v>
      </c>
      <c r="M136" s="79">
        <v>36</v>
      </c>
      <c r="N136" s="79">
        <v>41</v>
      </c>
      <c r="O136" s="77" t="s">
        <v>274</v>
      </c>
      <c r="P136" s="80">
        <f t="shared" si="6"/>
        <v>323</v>
      </c>
      <c r="Q136" s="80">
        <f t="shared" si="7"/>
        <v>53.833333333333336</v>
      </c>
      <c r="R136" s="80">
        <f t="shared" si="8"/>
        <v>10.766666666666667</v>
      </c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1:33" x14ac:dyDescent="0.25">
      <c r="A137" s="77">
        <v>2</v>
      </c>
      <c r="B137" s="78" t="s">
        <v>138</v>
      </c>
      <c r="C137" s="79">
        <v>35</v>
      </c>
      <c r="D137" s="79">
        <v>40</v>
      </c>
      <c r="E137" s="79">
        <v>33</v>
      </c>
      <c r="F137" s="79">
        <v>34</v>
      </c>
      <c r="G137" s="79">
        <v>21</v>
      </c>
      <c r="H137" s="79">
        <v>31</v>
      </c>
      <c r="I137" s="79">
        <v>20</v>
      </c>
      <c r="J137" s="79">
        <v>25</v>
      </c>
      <c r="K137" s="79">
        <v>29</v>
      </c>
      <c r="L137" s="79">
        <v>27</v>
      </c>
      <c r="M137" s="79">
        <v>35</v>
      </c>
      <c r="N137" s="79">
        <v>40</v>
      </c>
      <c r="O137" s="77" t="s">
        <v>274</v>
      </c>
      <c r="P137" s="80">
        <f t="shared" si="6"/>
        <v>370</v>
      </c>
      <c r="Q137" s="80">
        <f t="shared" si="7"/>
        <v>61.666666666666671</v>
      </c>
      <c r="R137" s="80">
        <f t="shared" si="8"/>
        <v>12.333333333333336</v>
      </c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</row>
    <row r="138" spans="1:33" x14ac:dyDescent="0.25">
      <c r="A138" s="77">
        <v>3</v>
      </c>
      <c r="B138" s="78" t="s">
        <v>139</v>
      </c>
      <c r="C138" s="79">
        <v>16</v>
      </c>
      <c r="D138" s="79">
        <v>36</v>
      </c>
      <c r="E138" s="79">
        <v>26</v>
      </c>
      <c r="F138" s="79"/>
      <c r="G138" s="79"/>
      <c r="H138" s="79"/>
      <c r="I138" s="79">
        <v>5</v>
      </c>
      <c r="J138" s="79">
        <v>19</v>
      </c>
      <c r="K138" s="79">
        <v>14</v>
      </c>
      <c r="L138" s="79">
        <v>16</v>
      </c>
      <c r="M138" s="79">
        <v>16</v>
      </c>
      <c r="N138" s="79">
        <v>20</v>
      </c>
      <c r="O138" s="77" t="s">
        <v>274</v>
      </c>
      <c r="P138" s="80">
        <f t="shared" si="6"/>
        <v>168</v>
      </c>
      <c r="Q138" s="80">
        <f t="shared" si="7"/>
        <v>28.000000000000004</v>
      </c>
      <c r="R138" s="80">
        <f t="shared" si="8"/>
        <v>5.6000000000000014</v>
      </c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</row>
    <row r="139" spans="1:33" x14ac:dyDescent="0.25">
      <c r="A139" s="77">
        <v>4</v>
      </c>
      <c r="B139" s="78" t="s">
        <v>140</v>
      </c>
      <c r="C139" s="79"/>
      <c r="D139" s="79"/>
      <c r="E139" s="79"/>
      <c r="F139" s="79"/>
      <c r="G139" s="79"/>
      <c r="H139" s="79"/>
      <c r="I139" s="79">
        <v>17</v>
      </c>
      <c r="J139" s="79">
        <v>13</v>
      </c>
      <c r="K139" s="79">
        <v>17</v>
      </c>
      <c r="L139" s="79">
        <v>15</v>
      </c>
      <c r="M139" s="79">
        <v>23</v>
      </c>
      <c r="N139" s="79">
        <v>15</v>
      </c>
      <c r="O139" s="77" t="s">
        <v>274</v>
      </c>
      <c r="P139" s="80">
        <f t="shared" si="6"/>
        <v>100</v>
      </c>
      <c r="Q139" s="80">
        <f t="shared" si="7"/>
        <v>16.666666666666664</v>
      </c>
      <c r="R139" s="80">
        <f t="shared" si="8"/>
        <v>3.333333333333333</v>
      </c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</row>
    <row r="140" spans="1:33" x14ac:dyDescent="0.25">
      <c r="A140" s="77">
        <v>5</v>
      </c>
      <c r="B140" s="78" t="s">
        <v>141</v>
      </c>
      <c r="C140" s="79">
        <v>19</v>
      </c>
      <c r="D140" s="79">
        <v>36</v>
      </c>
      <c r="E140" s="79">
        <v>21</v>
      </c>
      <c r="F140" s="79">
        <v>27</v>
      </c>
      <c r="G140" s="79">
        <v>29</v>
      </c>
      <c r="H140" s="79">
        <v>26</v>
      </c>
      <c r="I140" s="79">
        <v>20</v>
      </c>
      <c r="J140" s="79">
        <v>32</v>
      </c>
      <c r="K140" s="79"/>
      <c r="L140" s="79">
        <v>44</v>
      </c>
      <c r="M140" s="79">
        <v>33</v>
      </c>
      <c r="N140" s="79">
        <v>39</v>
      </c>
      <c r="O140" s="77" t="s">
        <v>274</v>
      </c>
      <c r="P140" s="80">
        <f t="shared" si="6"/>
        <v>326</v>
      </c>
      <c r="Q140" s="80">
        <f t="shared" si="7"/>
        <v>54.333333333333336</v>
      </c>
      <c r="R140" s="80">
        <f t="shared" si="8"/>
        <v>10.866666666666667</v>
      </c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</row>
    <row r="141" spans="1:33" x14ac:dyDescent="0.25">
      <c r="A141" s="77">
        <v>6</v>
      </c>
      <c r="B141" s="78" t="s">
        <v>142</v>
      </c>
      <c r="C141" s="79">
        <v>50</v>
      </c>
      <c r="D141" s="79">
        <v>48</v>
      </c>
      <c r="E141" s="79">
        <v>45</v>
      </c>
      <c r="F141" s="79">
        <v>46</v>
      </c>
      <c r="G141" s="79">
        <v>41</v>
      </c>
      <c r="H141" s="79">
        <v>47</v>
      </c>
      <c r="I141" s="79">
        <v>39</v>
      </c>
      <c r="J141" s="79">
        <v>42</v>
      </c>
      <c r="K141" s="79">
        <v>50</v>
      </c>
      <c r="L141" s="79">
        <v>48</v>
      </c>
      <c r="M141" s="79">
        <v>49</v>
      </c>
      <c r="N141" s="79">
        <v>50</v>
      </c>
      <c r="O141" s="77" t="s">
        <v>274</v>
      </c>
      <c r="P141" s="80">
        <f t="shared" si="6"/>
        <v>555</v>
      </c>
      <c r="Q141" s="80">
        <f t="shared" si="7"/>
        <v>92.5</v>
      </c>
      <c r="R141" s="80">
        <f t="shared" si="8"/>
        <v>18.5</v>
      </c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</row>
    <row r="142" spans="1:33" x14ac:dyDescent="0.25">
      <c r="A142" s="77">
        <v>7</v>
      </c>
      <c r="B142" s="78" t="s">
        <v>143</v>
      </c>
      <c r="C142" s="79">
        <v>48</v>
      </c>
      <c r="D142" s="79">
        <v>48</v>
      </c>
      <c r="E142" s="79">
        <v>18</v>
      </c>
      <c r="F142" s="79">
        <v>32</v>
      </c>
      <c r="G142" s="79">
        <v>32</v>
      </c>
      <c r="H142" s="79">
        <v>31</v>
      </c>
      <c r="I142" s="79">
        <v>41</v>
      </c>
      <c r="J142" s="79">
        <v>36</v>
      </c>
      <c r="K142" s="79">
        <v>48</v>
      </c>
      <c r="L142" s="79">
        <v>41</v>
      </c>
      <c r="M142" s="79">
        <v>47</v>
      </c>
      <c r="N142" s="79">
        <v>50</v>
      </c>
      <c r="O142" s="77" t="s">
        <v>274</v>
      </c>
      <c r="P142" s="80">
        <f t="shared" si="6"/>
        <v>472</v>
      </c>
      <c r="Q142" s="80">
        <f t="shared" si="7"/>
        <v>78.666666666666657</v>
      </c>
      <c r="R142" s="80">
        <f t="shared" si="8"/>
        <v>15.733333333333333</v>
      </c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</row>
    <row r="143" spans="1:33" x14ac:dyDescent="0.25">
      <c r="A143" s="77">
        <v>8</v>
      </c>
      <c r="B143" s="78" t="s">
        <v>144</v>
      </c>
      <c r="C143" s="79">
        <v>16</v>
      </c>
      <c r="D143" s="79">
        <v>38</v>
      </c>
      <c r="E143" s="79">
        <v>21</v>
      </c>
      <c r="F143" s="79">
        <v>21</v>
      </c>
      <c r="G143" s="79">
        <v>22</v>
      </c>
      <c r="H143" s="79">
        <v>14</v>
      </c>
      <c r="I143" s="79">
        <v>14</v>
      </c>
      <c r="J143" s="79">
        <v>33</v>
      </c>
      <c r="K143" s="79">
        <v>30</v>
      </c>
      <c r="L143" s="79">
        <v>33</v>
      </c>
      <c r="M143" s="79">
        <v>41</v>
      </c>
      <c r="N143" s="79">
        <v>48</v>
      </c>
      <c r="O143" s="77" t="s">
        <v>274</v>
      </c>
      <c r="P143" s="80">
        <f t="shared" si="6"/>
        <v>331</v>
      </c>
      <c r="Q143" s="80">
        <f t="shared" si="7"/>
        <v>55.166666666666664</v>
      </c>
      <c r="R143" s="80">
        <f t="shared" si="8"/>
        <v>11.033333333333333</v>
      </c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</row>
    <row r="144" spans="1:33" x14ac:dyDescent="0.25">
      <c r="A144" s="77">
        <v>9</v>
      </c>
      <c r="B144" s="78" t="s">
        <v>145</v>
      </c>
      <c r="C144" s="79">
        <v>19</v>
      </c>
      <c r="D144" s="79">
        <v>21</v>
      </c>
      <c r="E144" s="79">
        <v>11</v>
      </c>
      <c r="F144" s="79">
        <v>10</v>
      </c>
      <c r="G144" s="79">
        <v>9</v>
      </c>
      <c r="H144" s="79">
        <v>17</v>
      </c>
      <c r="I144" s="79">
        <v>10</v>
      </c>
      <c r="J144" s="79">
        <v>7</v>
      </c>
      <c r="K144" s="79">
        <v>13</v>
      </c>
      <c r="L144" s="79">
        <v>14</v>
      </c>
      <c r="M144" s="79">
        <v>14</v>
      </c>
      <c r="N144" s="79">
        <v>13</v>
      </c>
      <c r="O144" s="77" t="s">
        <v>274</v>
      </c>
      <c r="P144" s="80">
        <f t="shared" si="6"/>
        <v>158</v>
      </c>
      <c r="Q144" s="80">
        <f t="shared" si="7"/>
        <v>26.333333333333332</v>
      </c>
      <c r="R144" s="80">
        <f t="shared" si="8"/>
        <v>5.2666666666666666</v>
      </c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</row>
    <row r="145" spans="1:33" x14ac:dyDescent="0.25">
      <c r="A145" s="77">
        <v>10</v>
      </c>
      <c r="B145" s="78" t="s">
        <v>146</v>
      </c>
      <c r="C145" s="79">
        <v>39</v>
      </c>
      <c r="D145" s="79">
        <v>40</v>
      </c>
      <c r="E145" s="79">
        <v>32</v>
      </c>
      <c r="F145" s="79">
        <v>40</v>
      </c>
      <c r="G145" s="79">
        <v>32</v>
      </c>
      <c r="H145" s="79">
        <v>25</v>
      </c>
      <c r="I145" s="79">
        <v>40</v>
      </c>
      <c r="J145" s="79">
        <v>16</v>
      </c>
      <c r="K145" s="79">
        <v>34</v>
      </c>
      <c r="L145" s="79">
        <v>30</v>
      </c>
      <c r="M145" s="79">
        <v>37</v>
      </c>
      <c r="N145" s="79">
        <v>44</v>
      </c>
      <c r="O145" s="77" t="s">
        <v>274</v>
      </c>
      <c r="P145" s="80">
        <f t="shared" si="6"/>
        <v>409</v>
      </c>
      <c r="Q145" s="80">
        <f t="shared" si="7"/>
        <v>68.166666666666657</v>
      </c>
      <c r="R145" s="80">
        <f t="shared" si="8"/>
        <v>13.633333333333333</v>
      </c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</row>
    <row r="146" spans="1:33" x14ac:dyDescent="0.25">
      <c r="A146" s="77">
        <v>11</v>
      </c>
      <c r="B146" s="78" t="s">
        <v>147</v>
      </c>
      <c r="C146" s="79">
        <v>47</v>
      </c>
      <c r="D146" s="79">
        <v>44</v>
      </c>
      <c r="E146" s="79">
        <v>38</v>
      </c>
      <c r="F146" s="79">
        <v>44</v>
      </c>
      <c r="G146" s="79">
        <v>45</v>
      </c>
      <c r="H146" s="79">
        <v>45</v>
      </c>
      <c r="I146" s="79">
        <v>39</v>
      </c>
      <c r="J146" s="79">
        <v>40</v>
      </c>
      <c r="K146" s="79">
        <v>46</v>
      </c>
      <c r="L146" s="79">
        <v>48</v>
      </c>
      <c r="M146" s="79">
        <v>46</v>
      </c>
      <c r="N146" s="79">
        <v>50</v>
      </c>
      <c r="O146" s="77" t="s">
        <v>274</v>
      </c>
      <c r="P146" s="80">
        <f t="shared" si="6"/>
        <v>532</v>
      </c>
      <c r="Q146" s="80">
        <f t="shared" si="7"/>
        <v>88.666666666666671</v>
      </c>
      <c r="R146" s="80">
        <f t="shared" si="8"/>
        <v>17.733333333333334</v>
      </c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</row>
    <row r="147" spans="1:33" x14ac:dyDescent="0.25">
      <c r="A147" s="77">
        <v>12</v>
      </c>
      <c r="B147" s="78" t="s">
        <v>148</v>
      </c>
      <c r="C147" s="79">
        <v>41</v>
      </c>
      <c r="D147" s="79">
        <v>39</v>
      </c>
      <c r="E147" s="79">
        <v>38</v>
      </c>
      <c r="F147" s="79">
        <v>41</v>
      </c>
      <c r="G147" s="79">
        <v>32</v>
      </c>
      <c r="H147" s="79">
        <v>33</v>
      </c>
      <c r="I147" s="79">
        <v>28</v>
      </c>
      <c r="J147" s="79">
        <v>33</v>
      </c>
      <c r="K147" s="79">
        <v>43</v>
      </c>
      <c r="L147" s="79">
        <v>37</v>
      </c>
      <c r="M147" s="79">
        <v>37</v>
      </c>
      <c r="N147" s="79">
        <v>50</v>
      </c>
      <c r="O147" s="77" t="s">
        <v>274</v>
      </c>
      <c r="P147" s="80">
        <f t="shared" si="6"/>
        <v>452</v>
      </c>
      <c r="Q147" s="80">
        <f t="shared" si="7"/>
        <v>75.333333333333329</v>
      </c>
      <c r="R147" s="80">
        <f t="shared" si="8"/>
        <v>15.066666666666666</v>
      </c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1:33" x14ac:dyDescent="0.25">
      <c r="A148" s="77">
        <v>13</v>
      </c>
      <c r="B148" s="78" t="s">
        <v>149</v>
      </c>
      <c r="C148" s="79">
        <v>13</v>
      </c>
      <c r="D148" s="79">
        <v>28</v>
      </c>
      <c r="E148" s="79">
        <v>11</v>
      </c>
      <c r="F148" s="79">
        <v>23</v>
      </c>
      <c r="G148" s="79">
        <v>22</v>
      </c>
      <c r="H148" s="79">
        <v>17</v>
      </c>
      <c r="I148" s="79">
        <v>15</v>
      </c>
      <c r="J148" s="79">
        <v>13</v>
      </c>
      <c r="K148" s="79">
        <v>12</v>
      </c>
      <c r="L148" s="79">
        <v>12</v>
      </c>
      <c r="M148" s="79">
        <v>16</v>
      </c>
      <c r="N148" s="79">
        <v>16</v>
      </c>
      <c r="O148" s="77" t="s">
        <v>274</v>
      </c>
      <c r="P148" s="80">
        <f t="shared" si="6"/>
        <v>198</v>
      </c>
      <c r="Q148" s="80">
        <f t="shared" si="7"/>
        <v>33</v>
      </c>
      <c r="R148" s="80">
        <f t="shared" si="8"/>
        <v>6.6000000000000005</v>
      </c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</row>
    <row r="149" spans="1:33" x14ac:dyDescent="0.25">
      <c r="A149" s="77">
        <v>14</v>
      </c>
      <c r="B149" s="78" t="s">
        <v>150</v>
      </c>
      <c r="C149" s="79">
        <v>30</v>
      </c>
      <c r="D149" s="79">
        <v>39</v>
      </c>
      <c r="E149" s="79">
        <v>26</v>
      </c>
      <c r="F149" s="79">
        <v>25</v>
      </c>
      <c r="G149" s="79">
        <v>18</v>
      </c>
      <c r="H149" s="79">
        <v>23</v>
      </c>
      <c r="I149" s="79">
        <v>18</v>
      </c>
      <c r="J149" s="79">
        <v>20</v>
      </c>
      <c r="K149" s="79">
        <v>22</v>
      </c>
      <c r="L149" s="79">
        <v>14</v>
      </c>
      <c r="M149" s="79">
        <v>32</v>
      </c>
      <c r="N149" s="79">
        <v>37</v>
      </c>
      <c r="O149" s="77" t="s">
        <v>274</v>
      </c>
      <c r="P149" s="80">
        <f t="shared" si="6"/>
        <v>304</v>
      </c>
      <c r="Q149" s="80">
        <f t="shared" si="7"/>
        <v>50.666666666666671</v>
      </c>
      <c r="R149" s="80">
        <f t="shared" si="8"/>
        <v>10.133333333333335</v>
      </c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</row>
    <row r="150" spans="1:33" x14ac:dyDescent="0.25">
      <c r="A150" s="77">
        <v>15</v>
      </c>
      <c r="B150" s="78" t="s">
        <v>151</v>
      </c>
      <c r="C150" s="79">
        <v>29</v>
      </c>
      <c r="D150" s="79">
        <v>37</v>
      </c>
      <c r="E150" s="79">
        <v>22</v>
      </c>
      <c r="F150" s="79">
        <v>30</v>
      </c>
      <c r="G150" s="79">
        <v>19</v>
      </c>
      <c r="H150" s="79">
        <v>26</v>
      </c>
      <c r="I150" s="79">
        <v>31</v>
      </c>
      <c r="J150" s="79">
        <v>25</v>
      </c>
      <c r="K150" s="79">
        <v>35</v>
      </c>
      <c r="L150" s="79">
        <v>30</v>
      </c>
      <c r="M150" s="79">
        <v>40</v>
      </c>
      <c r="N150" s="79">
        <v>39</v>
      </c>
      <c r="O150" s="77" t="s">
        <v>274</v>
      </c>
      <c r="P150" s="80">
        <f t="shared" si="6"/>
        <v>363</v>
      </c>
      <c r="Q150" s="80">
        <f t="shared" si="7"/>
        <v>60.5</v>
      </c>
      <c r="R150" s="80">
        <f t="shared" si="8"/>
        <v>12.100000000000001</v>
      </c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</row>
    <row r="151" spans="1:33" x14ac:dyDescent="0.25">
      <c r="A151" s="77">
        <v>16</v>
      </c>
      <c r="B151" s="78" t="s">
        <v>152</v>
      </c>
      <c r="C151" s="79">
        <v>17</v>
      </c>
      <c r="D151" s="79">
        <v>39</v>
      </c>
      <c r="E151" s="79">
        <v>16</v>
      </c>
      <c r="F151" s="79">
        <v>18</v>
      </c>
      <c r="G151" s="79">
        <v>9</v>
      </c>
      <c r="H151" s="79">
        <v>20</v>
      </c>
      <c r="I151" s="79"/>
      <c r="J151" s="79"/>
      <c r="K151" s="79"/>
      <c r="L151" s="79"/>
      <c r="M151" s="79"/>
      <c r="N151" s="79"/>
      <c r="O151" s="77" t="s">
        <v>274</v>
      </c>
      <c r="P151" s="80">
        <f t="shared" si="6"/>
        <v>119</v>
      </c>
      <c r="Q151" s="80">
        <f t="shared" si="7"/>
        <v>19.833333333333332</v>
      </c>
      <c r="R151" s="80">
        <f t="shared" si="8"/>
        <v>3.9666666666666668</v>
      </c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</row>
    <row r="152" spans="1:33" x14ac:dyDescent="0.25">
      <c r="A152" s="77">
        <v>17</v>
      </c>
      <c r="B152" s="78" t="s">
        <v>153</v>
      </c>
      <c r="C152" s="79">
        <v>21</v>
      </c>
      <c r="D152" s="79">
        <v>27</v>
      </c>
      <c r="E152" s="79">
        <v>25</v>
      </c>
      <c r="F152" s="79">
        <v>14</v>
      </c>
      <c r="G152" s="79">
        <v>9</v>
      </c>
      <c r="H152" s="79">
        <v>18</v>
      </c>
      <c r="I152" s="79">
        <v>24</v>
      </c>
      <c r="J152" s="79">
        <v>33</v>
      </c>
      <c r="K152" s="79">
        <v>23</v>
      </c>
      <c r="L152" s="79">
        <v>18</v>
      </c>
      <c r="M152" s="79">
        <v>37</v>
      </c>
      <c r="N152" s="79">
        <v>39</v>
      </c>
      <c r="O152" s="77" t="s">
        <v>274</v>
      </c>
      <c r="P152" s="80">
        <f t="shared" si="6"/>
        <v>288</v>
      </c>
      <c r="Q152" s="80">
        <f t="shared" si="7"/>
        <v>48</v>
      </c>
      <c r="R152" s="80">
        <f t="shared" si="8"/>
        <v>9.6000000000000014</v>
      </c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</row>
    <row r="153" spans="1:33" x14ac:dyDescent="0.25">
      <c r="A153" s="77">
        <v>18</v>
      </c>
      <c r="B153" s="78" t="s">
        <v>154</v>
      </c>
      <c r="C153" s="79">
        <v>50</v>
      </c>
      <c r="D153" s="79">
        <v>41</v>
      </c>
      <c r="E153" s="79">
        <v>36</v>
      </c>
      <c r="F153" s="79">
        <v>45</v>
      </c>
      <c r="G153" s="79">
        <v>45</v>
      </c>
      <c r="H153" s="79">
        <v>45</v>
      </c>
      <c r="I153" s="79">
        <v>45</v>
      </c>
      <c r="J153" s="79">
        <v>37</v>
      </c>
      <c r="K153" s="79">
        <v>50</v>
      </c>
      <c r="L153" s="79">
        <v>45</v>
      </c>
      <c r="M153" s="79">
        <v>43</v>
      </c>
      <c r="N153" s="79">
        <v>49</v>
      </c>
      <c r="O153" s="77" t="s">
        <v>274</v>
      </c>
      <c r="P153" s="80">
        <f t="shared" si="6"/>
        <v>531</v>
      </c>
      <c r="Q153" s="80">
        <f t="shared" si="7"/>
        <v>88.5</v>
      </c>
      <c r="R153" s="80">
        <f t="shared" si="8"/>
        <v>17.7</v>
      </c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</row>
    <row r="154" spans="1:33" x14ac:dyDescent="0.25">
      <c r="A154" s="77">
        <v>19</v>
      </c>
      <c r="B154" s="78" t="s">
        <v>155</v>
      </c>
      <c r="C154" s="79">
        <v>28</v>
      </c>
      <c r="D154" s="79">
        <v>38</v>
      </c>
      <c r="E154" s="79">
        <v>24</v>
      </c>
      <c r="F154" s="79">
        <v>30</v>
      </c>
      <c r="G154" s="79">
        <v>29</v>
      </c>
      <c r="H154" s="79">
        <v>29</v>
      </c>
      <c r="I154" s="79">
        <v>32</v>
      </c>
      <c r="J154" s="79">
        <v>23</v>
      </c>
      <c r="K154" s="79">
        <v>33</v>
      </c>
      <c r="L154" s="79">
        <v>33</v>
      </c>
      <c r="M154" s="79">
        <v>41</v>
      </c>
      <c r="N154" s="79">
        <v>38</v>
      </c>
      <c r="O154" s="77" t="s">
        <v>274</v>
      </c>
      <c r="P154" s="80">
        <f t="shared" si="6"/>
        <v>378</v>
      </c>
      <c r="Q154" s="80">
        <f t="shared" si="7"/>
        <v>63</v>
      </c>
      <c r="R154" s="80">
        <f t="shared" si="8"/>
        <v>12.600000000000001</v>
      </c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</row>
    <row r="155" spans="1:33" x14ac:dyDescent="0.25">
      <c r="A155" s="77">
        <v>20</v>
      </c>
      <c r="B155" s="78" t="s">
        <v>156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7" t="s">
        <v>274</v>
      </c>
      <c r="P155" s="80">
        <f t="shared" si="6"/>
        <v>0</v>
      </c>
      <c r="Q155" s="80">
        <f t="shared" si="7"/>
        <v>0</v>
      </c>
      <c r="R155" s="80">
        <f t="shared" si="8"/>
        <v>0</v>
      </c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</row>
    <row r="156" spans="1:33" x14ac:dyDescent="0.25">
      <c r="A156" s="77">
        <v>21</v>
      </c>
      <c r="B156" s="78" t="s">
        <v>157</v>
      </c>
      <c r="C156" s="79">
        <v>36</v>
      </c>
      <c r="D156" s="79">
        <v>42</v>
      </c>
      <c r="E156" s="79">
        <v>44</v>
      </c>
      <c r="F156" s="79">
        <v>49</v>
      </c>
      <c r="G156" s="79">
        <v>44</v>
      </c>
      <c r="H156" s="79">
        <v>42</v>
      </c>
      <c r="I156" s="79"/>
      <c r="J156" s="79"/>
      <c r="K156" s="79"/>
      <c r="L156" s="79"/>
      <c r="M156" s="79"/>
      <c r="N156" s="79"/>
      <c r="O156" s="77" t="s">
        <v>274</v>
      </c>
      <c r="P156" s="80">
        <f t="shared" si="6"/>
        <v>257</v>
      </c>
      <c r="Q156" s="80">
        <f t="shared" si="7"/>
        <v>42.833333333333336</v>
      </c>
      <c r="R156" s="80">
        <f t="shared" si="8"/>
        <v>8.5666666666666682</v>
      </c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</row>
    <row r="157" spans="1:33" x14ac:dyDescent="0.25">
      <c r="A157" s="77">
        <v>22</v>
      </c>
      <c r="B157" s="78" t="s">
        <v>158</v>
      </c>
      <c r="C157" s="79">
        <v>35</v>
      </c>
      <c r="D157" s="79">
        <v>41</v>
      </c>
      <c r="E157" s="79">
        <v>26</v>
      </c>
      <c r="F157" s="79">
        <v>29</v>
      </c>
      <c r="G157" s="79">
        <v>28</v>
      </c>
      <c r="H157" s="79">
        <v>22</v>
      </c>
      <c r="I157" s="79">
        <v>18</v>
      </c>
      <c r="J157" s="79">
        <v>29</v>
      </c>
      <c r="K157" s="79">
        <v>38</v>
      </c>
      <c r="L157" s="79">
        <v>35</v>
      </c>
      <c r="M157" s="79">
        <v>40</v>
      </c>
      <c r="N157" s="79">
        <v>42</v>
      </c>
      <c r="O157" s="77" t="s">
        <v>274</v>
      </c>
      <c r="P157" s="80">
        <f t="shared" si="6"/>
        <v>383</v>
      </c>
      <c r="Q157" s="80">
        <f t="shared" si="7"/>
        <v>63.833333333333329</v>
      </c>
      <c r="R157" s="80">
        <f t="shared" si="8"/>
        <v>12.766666666666666</v>
      </c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</row>
    <row r="158" spans="1:33" x14ac:dyDescent="0.25">
      <c r="A158" s="77">
        <v>23</v>
      </c>
      <c r="B158" s="78" t="s">
        <v>159</v>
      </c>
      <c r="C158" s="79">
        <v>33</v>
      </c>
      <c r="D158" s="79">
        <v>44</v>
      </c>
      <c r="E158" s="79">
        <v>36</v>
      </c>
      <c r="F158" s="79">
        <v>33</v>
      </c>
      <c r="G158" s="79">
        <v>31</v>
      </c>
      <c r="H158" s="79"/>
      <c r="I158" s="79">
        <v>29</v>
      </c>
      <c r="J158" s="79"/>
      <c r="K158" s="79"/>
      <c r="L158" s="79">
        <v>3</v>
      </c>
      <c r="M158" s="79">
        <v>9</v>
      </c>
      <c r="N158" s="79">
        <v>12</v>
      </c>
      <c r="O158" s="77" t="s">
        <v>274</v>
      </c>
      <c r="P158" s="80">
        <f t="shared" si="6"/>
        <v>230</v>
      </c>
      <c r="Q158" s="80">
        <f t="shared" si="7"/>
        <v>38.333333333333336</v>
      </c>
      <c r="R158" s="80">
        <f t="shared" si="8"/>
        <v>7.6666666666666679</v>
      </c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1:33" x14ac:dyDescent="0.25">
      <c r="A159" s="77">
        <v>24</v>
      </c>
      <c r="B159" s="78" t="s">
        <v>160</v>
      </c>
      <c r="C159" s="79">
        <v>45</v>
      </c>
      <c r="D159" s="79">
        <v>49</v>
      </c>
      <c r="E159" s="79">
        <v>35</v>
      </c>
      <c r="F159" s="79">
        <v>39</v>
      </c>
      <c r="G159" s="79">
        <v>44</v>
      </c>
      <c r="H159" s="79"/>
      <c r="I159" s="79"/>
      <c r="J159" s="79"/>
      <c r="K159" s="79"/>
      <c r="L159" s="79"/>
      <c r="M159" s="79"/>
      <c r="N159" s="79"/>
      <c r="O159" s="77" t="s">
        <v>274</v>
      </c>
      <c r="P159" s="80">
        <f t="shared" si="6"/>
        <v>212</v>
      </c>
      <c r="Q159" s="80">
        <f t="shared" si="7"/>
        <v>35.333333333333336</v>
      </c>
      <c r="R159" s="80">
        <f t="shared" si="8"/>
        <v>7.0666666666666673</v>
      </c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</row>
    <row r="160" spans="1:33" x14ac:dyDescent="0.25">
      <c r="A160" s="77">
        <v>25</v>
      </c>
      <c r="B160" s="78" t="s">
        <v>161</v>
      </c>
      <c r="C160" s="79"/>
      <c r="D160" s="79"/>
      <c r="E160" s="79"/>
      <c r="F160" s="79"/>
      <c r="G160" s="79"/>
      <c r="H160" s="79"/>
      <c r="I160" s="79">
        <v>25</v>
      </c>
      <c r="J160" s="79">
        <v>24</v>
      </c>
      <c r="K160" s="79">
        <v>31</v>
      </c>
      <c r="L160" s="79">
        <v>31</v>
      </c>
      <c r="M160" s="79">
        <v>13</v>
      </c>
      <c r="N160" s="79">
        <v>23</v>
      </c>
      <c r="O160" s="77" t="s">
        <v>274</v>
      </c>
      <c r="P160" s="80">
        <f t="shared" si="6"/>
        <v>147</v>
      </c>
      <c r="Q160" s="80">
        <f t="shared" si="7"/>
        <v>24.5</v>
      </c>
      <c r="R160" s="80">
        <f t="shared" si="8"/>
        <v>4.9000000000000004</v>
      </c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</row>
    <row r="161" spans="1:33" x14ac:dyDescent="0.25">
      <c r="A161" s="77">
        <v>26</v>
      </c>
      <c r="B161" s="78" t="s">
        <v>162</v>
      </c>
      <c r="C161" s="79">
        <v>36</v>
      </c>
      <c r="D161" s="79">
        <v>49</v>
      </c>
      <c r="E161" s="79">
        <v>44</v>
      </c>
      <c r="F161" s="79">
        <v>49</v>
      </c>
      <c r="G161" s="79">
        <v>41</v>
      </c>
      <c r="H161" s="79">
        <v>43</v>
      </c>
      <c r="I161" s="79">
        <v>37</v>
      </c>
      <c r="J161" s="79">
        <v>37</v>
      </c>
      <c r="K161" s="79">
        <v>50</v>
      </c>
      <c r="L161" s="79">
        <v>47</v>
      </c>
      <c r="M161" s="79">
        <v>47</v>
      </c>
      <c r="N161" s="79">
        <v>43</v>
      </c>
      <c r="O161" s="77" t="s">
        <v>274</v>
      </c>
      <c r="P161" s="80">
        <f t="shared" si="6"/>
        <v>523</v>
      </c>
      <c r="Q161" s="80">
        <f t="shared" si="7"/>
        <v>87.166666666666671</v>
      </c>
      <c r="R161" s="80">
        <f t="shared" si="8"/>
        <v>17.433333333333334</v>
      </c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</row>
    <row r="162" spans="1:33" x14ac:dyDescent="0.25">
      <c r="A162" s="77">
        <v>27</v>
      </c>
      <c r="B162" s="78" t="s">
        <v>163</v>
      </c>
      <c r="C162" s="79">
        <v>37</v>
      </c>
      <c r="D162" s="79">
        <v>45</v>
      </c>
      <c r="E162" s="79">
        <v>33</v>
      </c>
      <c r="F162" s="79">
        <v>31</v>
      </c>
      <c r="G162" s="79">
        <v>30</v>
      </c>
      <c r="H162" s="79">
        <v>26</v>
      </c>
      <c r="I162" s="79">
        <v>13</v>
      </c>
      <c r="J162" s="79">
        <v>28</v>
      </c>
      <c r="K162" s="79">
        <v>40</v>
      </c>
      <c r="L162" s="79">
        <v>39</v>
      </c>
      <c r="M162" s="79">
        <v>43</v>
      </c>
      <c r="N162" s="79">
        <v>50</v>
      </c>
      <c r="O162" s="77" t="s">
        <v>274</v>
      </c>
      <c r="P162" s="80">
        <f t="shared" si="6"/>
        <v>415</v>
      </c>
      <c r="Q162" s="80">
        <f t="shared" si="7"/>
        <v>69.166666666666671</v>
      </c>
      <c r="R162" s="80">
        <f t="shared" si="8"/>
        <v>13.833333333333336</v>
      </c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</row>
    <row r="163" spans="1:33" x14ac:dyDescent="0.25">
      <c r="A163" s="77">
        <v>28</v>
      </c>
      <c r="B163" s="78" t="s">
        <v>164</v>
      </c>
      <c r="C163" s="79">
        <v>44</v>
      </c>
      <c r="D163" s="79">
        <v>40</v>
      </c>
      <c r="E163" s="79">
        <v>40</v>
      </c>
      <c r="F163" s="79">
        <v>27</v>
      </c>
      <c r="G163" s="79">
        <v>46</v>
      </c>
      <c r="H163" s="79">
        <v>46</v>
      </c>
      <c r="I163" s="79">
        <v>24</v>
      </c>
      <c r="J163" s="79">
        <v>15</v>
      </c>
      <c r="K163" s="79">
        <v>38</v>
      </c>
      <c r="L163" s="79">
        <v>21</v>
      </c>
      <c r="M163" s="79">
        <v>27</v>
      </c>
      <c r="N163" s="79">
        <v>17</v>
      </c>
      <c r="O163" s="77" t="s">
        <v>274</v>
      </c>
      <c r="P163" s="80">
        <f t="shared" si="6"/>
        <v>385</v>
      </c>
      <c r="Q163" s="80">
        <f t="shared" si="7"/>
        <v>64.166666666666671</v>
      </c>
      <c r="R163" s="80">
        <f t="shared" si="8"/>
        <v>12.833333333333336</v>
      </c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</row>
    <row r="164" spans="1:33" x14ac:dyDescent="0.25">
      <c r="A164" s="77">
        <v>29</v>
      </c>
      <c r="B164" s="78" t="s">
        <v>165</v>
      </c>
      <c r="C164" s="79">
        <v>33</v>
      </c>
      <c r="D164" s="79">
        <v>28</v>
      </c>
      <c r="E164" s="79">
        <v>21</v>
      </c>
      <c r="F164" s="79">
        <v>24</v>
      </c>
      <c r="G164" s="79">
        <v>23</v>
      </c>
      <c r="H164" s="79">
        <v>19</v>
      </c>
      <c r="I164" s="79">
        <v>24</v>
      </c>
      <c r="J164" s="79">
        <v>21</v>
      </c>
      <c r="K164" s="79">
        <v>26</v>
      </c>
      <c r="L164" s="79">
        <v>22</v>
      </c>
      <c r="M164" s="79">
        <v>37</v>
      </c>
      <c r="N164" s="79">
        <v>39</v>
      </c>
      <c r="O164" s="77" t="s">
        <v>274</v>
      </c>
      <c r="P164" s="80">
        <f t="shared" si="6"/>
        <v>317</v>
      </c>
      <c r="Q164" s="80">
        <f t="shared" si="7"/>
        <v>52.833333333333329</v>
      </c>
      <c r="R164" s="80">
        <f t="shared" si="8"/>
        <v>10.566666666666666</v>
      </c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</row>
    <row r="165" spans="1:33" x14ac:dyDescent="0.25">
      <c r="A165" s="77">
        <v>30</v>
      </c>
      <c r="B165" s="78" t="s">
        <v>166</v>
      </c>
      <c r="C165" s="79">
        <v>47</v>
      </c>
      <c r="D165" s="79">
        <v>48</v>
      </c>
      <c r="E165" s="79">
        <v>42</v>
      </c>
      <c r="F165" s="79">
        <v>48</v>
      </c>
      <c r="G165" s="79">
        <v>38</v>
      </c>
      <c r="H165" s="79">
        <v>16</v>
      </c>
      <c r="I165" s="79">
        <v>11</v>
      </c>
      <c r="J165" s="79">
        <v>40</v>
      </c>
      <c r="K165" s="79">
        <v>50</v>
      </c>
      <c r="L165" s="79">
        <v>48</v>
      </c>
      <c r="M165" s="79">
        <v>43</v>
      </c>
      <c r="N165" s="79">
        <v>50</v>
      </c>
      <c r="O165" s="77" t="s">
        <v>274</v>
      </c>
      <c r="P165" s="80">
        <f t="shared" si="6"/>
        <v>481</v>
      </c>
      <c r="Q165" s="80">
        <f t="shared" si="7"/>
        <v>80.166666666666657</v>
      </c>
      <c r="R165" s="80">
        <f t="shared" si="8"/>
        <v>16.033333333333331</v>
      </c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</row>
    <row r="166" spans="1:33" x14ac:dyDescent="0.25">
      <c r="A166" s="77">
        <v>31</v>
      </c>
      <c r="B166" s="78" t="s">
        <v>167</v>
      </c>
      <c r="C166" s="79">
        <v>28</v>
      </c>
      <c r="D166" s="79">
        <v>37</v>
      </c>
      <c r="E166" s="79">
        <v>21</v>
      </c>
      <c r="F166" s="79">
        <v>19</v>
      </c>
      <c r="G166" s="79">
        <v>22</v>
      </c>
      <c r="H166" s="79">
        <v>16</v>
      </c>
      <c r="I166" s="79">
        <v>21</v>
      </c>
      <c r="J166" s="79">
        <v>21</v>
      </c>
      <c r="K166" s="79">
        <v>26</v>
      </c>
      <c r="L166" s="79">
        <v>28</v>
      </c>
      <c r="M166" s="79">
        <v>36</v>
      </c>
      <c r="N166" s="79">
        <v>36</v>
      </c>
      <c r="O166" s="77" t="s">
        <v>274</v>
      </c>
      <c r="P166" s="80">
        <f t="shared" si="6"/>
        <v>311</v>
      </c>
      <c r="Q166" s="80">
        <f t="shared" si="7"/>
        <v>51.833333333333329</v>
      </c>
      <c r="R166" s="80">
        <f t="shared" si="8"/>
        <v>10.366666666666667</v>
      </c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</row>
    <row r="167" spans="1:33" x14ac:dyDescent="0.25">
      <c r="A167" s="77">
        <v>32</v>
      </c>
      <c r="B167" s="78" t="s">
        <v>168</v>
      </c>
      <c r="C167" s="79">
        <v>21</v>
      </c>
      <c r="D167" s="79">
        <v>27</v>
      </c>
      <c r="E167" s="79">
        <v>14</v>
      </c>
      <c r="F167" s="79">
        <v>14</v>
      </c>
      <c r="G167" s="79">
        <v>13</v>
      </c>
      <c r="H167" s="79">
        <v>18</v>
      </c>
      <c r="I167" s="79">
        <v>10</v>
      </c>
      <c r="J167" s="79">
        <v>16</v>
      </c>
      <c r="K167" s="79">
        <v>25</v>
      </c>
      <c r="L167" s="79">
        <v>18</v>
      </c>
      <c r="M167" s="79">
        <v>26</v>
      </c>
      <c r="N167" s="79">
        <v>41</v>
      </c>
      <c r="O167" s="77" t="s">
        <v>274</v>
      </c>
      <c r="P167" s="80">
        <f t="shared" si="6"/>
        <v>243</v>
      </c>
      <c r="Q167" s="80">
        <f t="shared" si="7"/>
        <v>40.5</v>
      </c>
      <c r="R167" s="80">
        <f t="shared" si="8"/>
        <v>8.1</v>
      </c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</row>
    <row r="168" spans="1:33" x14ac:dyDescent="0.25">
      <c r="A168" s="77">
        <v>33</v>
      </c>
      <c r="B168" s="78" t="s">
        <v>169</v>
      </c>
      <c r="C168" s="79">
        <v>48</v>
      </c>
      <c r="D168" s="79">
        <v>50</v>
      </c>
      <c r="E168" s="79">
        <v>45</v>
      </c>
      <c r="F168" s="79">
        <v>47</v>
      </c>
      <c r="G168" s="79">
        <v>47</v>
      </c>
      <c r="H168" s="79">
        <v>46</v>
      </c>
      <c r="I168" s="79">
        <v>47</v>
      </c>
      <c r="J168" s="79">
        <v>41</v>
      </c>
      <c r="K168" s="79">
        <v>49</v>
      </c>
      <c r="L168" s="79">
        <v>48</v>
      </c>
      <c r="M168" s="79">
        <v>47</v>
      </c>
      <c r="N168" s="79">
        <v>49</v>
      </c>
      <c r="O168" s="77" t="s">
        <v>274</v>
      </c>
      <c r="P168" s="80">
        <f t="shared" si="6"/>
        <v>564</v>
      </c>
      <c r="Q168" s="80">
        <f t="shared" si="7"/>
        <v>94</v>
      </c>
      <c r="R168" s="80">
        <f t="shared" si="8"/>
        <v>18.8</v>
      </c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</row>
    <row r="169" spans="1:33" x14ac:dyDescent="0.25">
      <c r="A169" s="77">
        <v>34</v>
      </c>
      <c r="B169" s="78" t="s">
        <v>170</v>
      </c>
      <c r="C169" s="79">
        <v>14</v>
      </c>
      <c r="D169" s="79">
        <v>30</v>
      </c>
      <c r="E169" s="79">
        <v>20</v>
      </c>
      <c r="F169" s="79">
        <v>23</v>
      </c>
      <c r="G169" s="79">
        <v>17</v>
      </c>
      <c r="H169" s="79">
        <v>16</v>
      </c>
      <c r="I169" s="79">
        <v>17</v>
      </c>
      <c r="J169" s="79">
        <v>21</v>
      </c>
      <c r="K169" s="79">
        <v>26</v>
      </c>
      <c r="L169" s="79">
        <v>23</v>
      </c>
      <c r="M169" s="79">
        <v>38</v>
      </c>
      <c r="N169" s="79">
        <v>40</v>
      </c>
      <c r="O169" s="77" t="s">
        <v>274</v>
      </c>
      <c r="P169" s="80">
        <f t="shared" si="6"/>
        <v>285</v>
      </c>
      <c r="Q169" s="80">
        <f t="shared" si="7"/>
        <v>47.5</v>
      </c>
      <c r="R169" s="80">
        <f t="shared" si="8"/>
        <v>9.5</v>
      </c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</row>
    <row r="170" spans="1:33" x14ac:dyDescent="0.25">
      <c r="A170" s="77">
        <v>35</v>
      </c>
      <c r="B170" s="78" t="s">
        <v>171</v>
      </c>
      <c r="C170" s="79">
        <v>43</v>
      </c>
      <c r="D170" s="79">
        <v>43</v>
      </c>
      <c r="E170" s="79">
        <v>38</v>
      </c>
      <c r="F170" s="79">
        <v>48</v>
      </c>
      <c r="G170" s="79">
        <v>36</v>
      </c>
      <c r="H170" s="79">
        <v>40</v>
      </c>
      <c r="I170" s="79">
        <v>42</v>
      </c>
      <c r="J170" s="79">
        <v>41</v>
      </c>
      <c r="K170" s="79">
        <v>50</v>
      </c>
      <c r="L170" s="79">
        <v>47</v>
      </c>
      <c r="M170" s="79">
        <v>49</v>
      </c>
      <c r="N170" s="79">
        <v>50</v>
      </c>
      <c r="O170" s="77" t="s">
        <v>275</v>
      </c>
      <c r="P170" s="80">
        <f t="shared" si="6"/>
        <v>527</v>
      </c>
      <c r="Q170" s="80">
        <f t="shared" si="7"/>
        <v>87.833333333333329</v>
      </c>
      <c r="R170" s="80">
        <f t="shared" si="8"/>
        <v>17.566666666666666</v>
      </c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1:33" x14ac:dyDescent="0.25">
      <c r="A171" s="77">
        <v>36</v>
      </c>
      <c r="B171" s="78" t="s">
        <v>172</v>
      </c>
      <c r="C171" s="79">
        <v>24</v>
      </c>
      <c r="D171" s="79">
        <v>38</v>
      </c>
      <c r="E171" s="79">
        <v>22</v>
      </c>
      <c r="F171" s="79">
        <v>18</v>
      </c>
      <c r="G171" s="79">
        <v>24</v>
      </c>
      <c r="H171" s="79">
        <v>26</v>
      </c>
      <c r="I171" s="79">
        <v>25</v>
      </c>
      <c r="J171" s="79">
        <v>15</v>
      </c>
      <c r="K171" s="79">
        <v>41</v>
      </c>
      <c r="L171" s="79">
        <v>29</v>
      </c>
      <c r="M171" s="79">
        <v>37</v>
      </c>
      <c r="N171" s="79">
        <v>38</v>
      </c>
      <c r="O171" s="77" t="s">
        <v>275</v>
      </c>
      <c r="P171" s="80">
        <f t="shared" si="6"/>
        <v>337</v>
      </c>
      <c r="Q171" s="80">
        <f t="shared" si="7"/>
        <v>56.166666666666664</v>
      </c>
      <c r="R171" s="80">
        <f t="shared" si="8"/>
        <v>11.233333333333334</v>
      </c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1:33" x14ac:dyDescent="0.25">
      <c r="A172" s="77">
        <v>37</v>
      </c>
      <c r="B172" s="78" t="s">
        <v>173</v>
      </c>
      <c r="C172" s="79">
        <v>39</v>
      </c>
      <c r="D172" s="79">
        <v>39</v>
      </c>
      <c r="E172" s="79">
        <v>26</v>
      </c>
      <c r="F172" s="79">
        <v>23</v>
      </c>
      <c r="G172" s="79">
        <v>32</v>
      </c>
      <c r="H172" s="79"/>
      <c r="I172" s="79">
        <v>25</v>
      </c>
      <c r="J172" s="79">
        <v>31</v>
      </c>
      <c r="K172" s="79">
        <v>44</v>
      </c>
      <c r="L172" s="79">
        <v>47</v>
      </c>
      <c r="M172" s="79">
        <v>47</v>
      </c>
      <c r="N172" s="79">
        <v>47</v>
      </c>
      <c r="O172" s="77" t="s">
        <v>275</v>
      </c>
      <c r="P172" s="80">
        <f t="shared" si="6"/>
        <v>400</v>
      </c>
      <c r="Q172" s="80">
        <f t="shared" si="7"/>
        <v>66.666666666666657</v>
      </c>
      <c r="R172" s="80">
        <f t="shared" si="8"/>
        <v>13.333333333333332</v>
      </c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1:33" x14ac:dyDescent="0.25">
      <c r="A173" s="77">
        <v>38</v>
      </c>
      <c r="B173" s="78" t="s">
        <v>174</v>
      </c>
      <c r="C173" s="79">
        <v>26</v>
      </c>
      <c r="D173" s="79">
        <v>45</v>
      </c>
      <c r="E173" s="79">
        <v>27</v>
      </c>
      <c r="F173" s="79">
        <v>37</v>
      </c>
      <c r="G173" s="79">
        <v>39</v>
      </c>
      <c r="H173" s="79">
        <v>32</v>
      </c>
      <c r="I173" s="79">
        <v>17</v>
      </c>
      <c r="J173" s="79">
        <v>11</v>
      </c>
      <c r="K173" s="79">
        <v>32</v>
      </c>
      <c r="L173" s="79">
        <v>29</v>
      </c>
      <c r="M173" s="79">
        <v>37</v>
      </c>
      <c r="N173" s="79">
        <v>42</v>
      </c>
      <c r="O173" s="77" t="s">
        <v>275</v>
      </c>
      <c r="P173" s="80">
        <f t="shared" si="6"/>
        <v>374</v>
      </c>
      <c r="Q173" s="80">
        <f t="shared" si="7"/>
        <v>62.333333333333329</v>
      </c>
      <c r="R173" s="80">
        <f t="shared" si="8"/>
        <v>12.466666666666667</v>
      </c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1:33" x14ac:dyDescent="0.25">
      <c r="A174" s="77">
        <v>39</v>
      </c>
      <c r="B174" s="78" t="s">
        <v>175</v>
      </c>
      <c r="C174" s="79">
        <v>46</v>
      </c>
      <c r="D174" s="79">
        <v>49</v>
      </c>
      <c r="E174" s="79">
        <v>40</v>
      </c>
      <c r="F174" s="79">
        <v>40</v>
      </c>
      <c r="G174" s="79">
        <v>39</v>
      </c>
      <c r="H174" s="79">
        <v>35</v>
      </c>
      <c r="I174" s="79">
        <v>35</v>
      </c>
      <c r="J174" s="79">
        <v>36</v>
      </c>
      <c r="K174" s="79">
        <v>43</v>
      </c>
      <c r="L174" s="79">
        <v>40</v>
      </c>
      <c r="M174" s="79">
        <v>38</v>
      </c>
      <c r="N174" s="79">
        <v>45</v>
      </c>
      <c r="O174" s="77" t="s">
        <v>275</v>
      </c>
      <c r="P174" s="80">
        <f t="shared" si="6"/>
        <v>486</v>
      </c>
      <c r="Q174" s="80">
        <f t="shared" si="7"/>
        <v>81</v>
      </c>
      <c r="R174" s="80">
        <f t="shared" si="8"/>
        <v>16.2</v>
      </c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1:33" x14ac:dyDescent="0.25">
      <c r="A175" s="77">
        <v>40</v>
      </c>
      <c r="B175" s="78" t="s">
        <v>176</v>
      </c>
      <c r="C175" s="79">
        <v>16</v>
      </c>
      <c r="D175" s="79">
        <v>33</v>
      </c>
      <c r="E175" s="79">
        <v>19</v>
      </c>
      <c r="F175" s="79">
        <v>23</v>
      </c>
      <c r="G175" s="79">
        <v>15</v>
      </c>
      <c r="H175" s="79">
        <v>20</v>
      </c>
      <c r="I175" s="79">
        <v>26</v>
      </c>
      <c r="J175" s="79">
        <v>18</v>
      </c>
      <c r="K175" s="79">
        <v>32</v>
      </c>
      <c r="L175" s="79">
        <v>26</v>
      </c>
      <c r="M175" s="79">
        <v>31</v>
      </c>
      <c r="N175" s="79">
        <v>30</v>
      </c>
      <c r="O175" s="77" t="s">
        <v>275</v>
      </c>
      <c r="P175" s="80">
        <f t="shared" si="6"/>
        <v>289</v>
      </c>
      <c r="Q175" s="80">
        <f t="shared" si="7"/>
        <v>48.166666666666671</v>
      </c>
      <c r="R175" s="80">
        <f t="shared" si="8"/>
        <v>9.6333333333333346</v>
      </c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</row>
    <row r="176" spans="1:33" x14ac:dyDescent="0.25">
      <c r="A176" s="77">
        <v>41</v>
      </c>
      <c r="B176" s="78" t="s">
        <v>177</v>
      </c>
      <c r="C176" s="79">
        <v>38</v>
      </c>
      <c r="D176" s="79">
        <v>33</v>
      </c>
      <c r="E176" s="79">
        <v>17</v>
      </c>
      <c r="F176" s="79"/>
      <c r="G176" s="79"/>
      <c r="H176" s="79"/>
      <c r="I176" s="79"/>
      <c r="J176" s="79"/>
      <c r="K176" s="79"/>
      <c r="L176" s="79"/>
      <c r="M176" s="79"/>
      <c r="N176" s="79"/>
      <c r="O176" s="77" t="s">
        <v>275</v>
      </c>
      <c r="P176" s="80">
        <f t="shared" si="6"/>
        <v>88</v>
      </c>
      <c r="Q176" s="80">
        <f t="shared" si="7"/>
        <v>14.666666666666666</v>
      </c>
      <c r="R176" s="80">
        <f t="shared" si="8"/>
        <v>2.9333333333333336</v>
      </c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</row>
    <row r="177" spans="1:33" x14ac:dyDescent="0.25">
      <c r="A177" s="77">
        <v>1</v>
      </c>
      <c r="B177" s="78" t="s">
        <v>178</v>
      </c>
      <c r="C177" s="79">
        <v>20</v>
      </c>
      <c r="D177" s="79">
        <v>34</v>
      </c>
      <c r="E177" s="79">
        <v>22</v>
      </c>
      <c r="F177" s="79">
        <v>19</v>
      </c>
      <c r="G177" s="79">
        <v>19</v>
      </c>
      <c r="H177" s="79">
        <v>21</v>
      </c>
      <c r="I177" s="79">
        <v>19</v>
      </c>
      <c r="J177" s="79">
        <v>20</v>
      </c>
      <c r="K177" s="79">
        <v>39</v>
      </c>
      <c r="L177" s="79">
        <v>32</v>
      </c>
      <c r="M177" s="79">
        <v>30</v>
      </c>
      <c r="N177" s="79">
        <v>39</v>
      </c>
      <c r="O177" s="68" t="s">
        <v>276</v>
      </c>
      <c r="P177" s="80">
        <f t="shared" si="6"/>
        <v>314</v>
      </c>
      <c r="Q177" s="80">
        <f t="shared" si="7"/>
        <v>52.333333333333329</v>
      </c>
      <c r="R177" s="80">
        <f t="shared" si="8"/>
        <v>10.466666666666667</v>
      </c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</row>
    <row r="178" spans="1:33" x14ac:dyDescent="0.25">
      <c r="A178" s="77">
        <v>2</v>
      </c>
      <c r="B178" s="78" t="s">
        <v>179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68" t="s">
        <v>276</v>
      </c>
      <c r="P178" s="80">
        <f t="shared" si="6"/>
        <v>0</v>
      </c>
      <c r="Q178" s="80">
        <f t="shared" si="7"/>
        <v>0</v>
      </c>
      <c r="R178" s="80">
        <f t="shared" si="8"/>
        <v>0</v>
      </c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</row>
    <row r="179" spans="1:33" x14ac:dyDescent="0.25">
      <c r="A179" s="77">
        <v>3</v>
      </c>
      <c r="B179" s="78" t="s">
        <v>180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68" t="s">
        <v>276</v>
      </c>
      <c r="P179" s="80">
        <f t="shared" si="6"/>
        <v>0</v>
      </c>
      <c r="Q179" s="80">
        <f t="shared" si="7"/>
        <v>0</v>
      </c>
      <c r="R179" s="80">
        <f t="shared" si="8"/>
        <v>0</v>
      </c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</row>
    <row r="180" spans="1:33" x14ac:dyDescent="0.25">
      <c r="A180" s="77">
        <v>4</v>
      </c>
      <c r="B180" s="78" t="s">
        <v>181</v>
      </c>
      <c r="C180" s="79">
        <v>20</v>
      </c>
      <c r="D180" s="79">
        <v>35</v>
      </c>
      <c r="E180" s="79">
        <v>21</v>
      </c>
      <c r="F180" s="79">
        <v>25</v>
      </c>
      <c r="G180" s="79">
        <v>20</v>
      </c>
      <c r="H180" s="79">
        <v>26</v>
      </c>
      <c r="I180" s="79"/>
      <c r="J180" s="79"/>
      <c r="K180" s="79"/>
      <c r="L180" s="79"/>
      <c r="M180" s="79"/>
      <c r="N180" s="79"/>
      <c r="O180" s="68" t="s">
        <v>276</v>
      </c>
      <c r="P180" s="80">
        <f t="shared" si="6"/>
        <v>147</v>
      </c>
      <c r="Q180" s="80">
        <f t="shared" si="7"/>
        <v>24.5</v>
      </c>
      <c r="R180" s="80">
        <f t="shared" si="8"/>
        <v>4.9000000000000004</v>
      </c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</row>
    <row r="181" spans="1:33" x14ac:dyDescent="0.25">
      <c r="A181" s="77">
        <v>5</v>
      </c>
      <c r="B181" s="78" t="s">
        <v>182</v>
      </c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68" t="s">
        <v>276</v>
      </c>
      <c r="P181" s="80">
        <f t="shared" si="6"/>
        <v>0</v>
      </c>
      <c r="Q181" s="80">
        <f t="shared" si="7"/>
        <v>0</v>
      </c>
      <c r="R181" s="80">
        <f t="shared" si="8"/>
        <v>0</v>
      </c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</row>
    <row r="182" spans="1:33" x14ac:dyDescent="0.25">
      <c r="A182" s="77">
        <v>6</v>
      </c>
      <c r="B182" s="78" t="s">
        <v>183</v>
      </c>
      <c r="C182" s="79">
        <v>18</v>
      </c>
      <c r="D182" s="79">
        <v>38</v>
      </c>
      <c r="E182" s="79">
        <v>21</v>
      </c>
      <c r="F182" s="79"/>
      <c r="G182" s="79"/>
      <c r="H182" s="79"/>
      <c r="I182" s="79">
        <v>18</v>
      </c>
      <c r="J182" s="79">
        <v>18</v>
      </c>
      <c r="K182" s="79">
        <v>26</v>
      </c>
      <c r="L182" s="79">
        <v>25</v>
      </c>
      <c r="M182" s="79">
        <v>34</v>
      </c>
      <c r="N182" s="79">
        <v>38</v>
      </c>
      <c r="O182" s="68" t="s">
        <v>276</v>
      </c>
      <c r="P182" s="80">
        <f t="shared" si="6"/>
        <v>236</v>
      </c>
      <c r="Q182" s="80">
        <f t="shared" si="7"/>
        <v>39.333333333333329</v>
      </c>
      <c r="R182" s="80">
        <f t="shared" si="8"/>
        <v>7.8666666666666663</v>
      </c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</row>
    <row r="183" spans="1:33" x14ac:dyDescent="0.25">
      <c r="A183" s="77">
        <v>7</v>
      </c>
      <c r="B183" s="78" t="s">
        <v>184</v>
      </c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68" t="s">
        <v>276</v>
      </c>
      <c r="P183" s="80">
        <f t="shared" si="6"/>
        <v>0</v>
      </c>
      <c r="Q183" s="80">
        <f t="shared" si="7"/>
        <v>0</v>
      </c>
      <c r="R183" s="80">
        <f t="shared" si="8"/>
        <v>0</v>
      </c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</row>
    <row r="184" spans="1:33" x14ac:dyDescent="0.25">
      <c r="A184" s="77">
        <v>8</v>
      </c>
      <c r="B184" s="78" t="s">
        <v>185</v>
      </c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68" t="s">
        <v>276</v>
      </c>
      <c r="P184" s="80">
        <f t="shared" si="6"/>
        <v>0</v>
      </c>
      <c r="Q184" s="80">
        <f t="shared" si="7"/>
        <v>0</v>
      </c>
      <c r="R184" s="80">
        <f t="shared" si="8"/>
        <v>0</v>
      </c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</row>
    <row r="185" spans="1:33" x14ac:dyDescent="0.25">
      <c r="A185" s="77">
        <v>1</v>
      </c>
      <c r="B185" s="78" t="s">
        <v>186</v>
      </c>
      <c r="C185" s="79">
        <v>46</v>
      </c>
      <c r="D185" s="79">
        <v>49</v>
      </c>
      <c r="E185" s="79">
        <v>39</v>
      </c>
      <c r="F185" s="79">
        <v>45</v>
      </c>
      <c r="G185" s="79">
        <v>40</v>
      </c>
      <c r="H185" s="79">
        <v>40</v>
      </c>
      <c r="I185" s="79">
        <v>29</v>
      </c>
      <c r="J185" s="79">
        <v>40</v>
      </c>
      <c r="K185" s="79">
        <v>47</v>
      </c>
      <c r="L185" s="79">
        <v>43</v>
      </c>
      <c r="M185" s="79">
        <v>45</v>
      </c>
      <c r="N185" s="79">
        <v>48</v>
      </c>
      <c r="O185" s="77" t="s">
        <v>277</v>
      </c>
      <c r="P185" s="80">
        <f t="shared" si="6"/>
        <v>511</v>
      </c>
      <c r="Q185" s="80">
        <f t="shared" si="7"/>
        <v>85.166666666666671</v>
      </c>
      <c r="R185" s="80">
        <f t="shared" si="8"/>
        <v>17.033333333333335</v>
      </c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1:33" x14ac:dyDescent="0.25">
      <c r="A186" s="77">
        <v>2</v>
      </c>
      <c r="B186" s="78" t="s">
        <v>187</v>
      </c>
      <c r="C186" s="79">
        <v>15</v>
      </c>
      <c r="D186" s="79">
        <v>39</v>
      </c>
      <c r="E186" s="79">
        <v>28</v>
      </c>
      <c r="F186" s="79">
        <v>32</v>
      </c>
      <c r="G186" s="79">
        <v>21</v>
      </c>
      <c r="H186" s="79">
        <v>28</v>
      </c>
      <c r="I186" s="79">
        <v>25</v>
      </c>
      <c r="J186" s="79">
        <v>18</v>
      </c>
      <c r="K186" s="79">
        <v>32</v>
      </c>
      <c r="L186" s="79">
        <v>38</v>
      </c>
      <c r="M186" s="79">
        <v>44</v>
      </c>
      <c r="N186" s="79">
        <v>40</v>
      </c>
      <c r="O186" s="77" t="s">
        <v>277</v>
      </c>
      <c r="P186" s="80">
        <f t="shared" si="6"/>
        <v>360</v>
      </c>
      <c r="Q186" s="80">
        <f t="shared" si="7"/>
        <v>60</v>
      </c>
      <c r="R186" s="80">
        <f t="shared" si="8"/>
        <v>12</v>
      </c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</row>
    <row r="187" spans="1:33" x14ac:dyDescent="0.25">
      <c r="A187" s="77">
        <v>3</v>
      </c>
      <c r="B187" s="78" t="s">
        <v>188</v>
      </c>
      <c r="C187" s="79">
        <v>35</v>
      </c>
      <c r="D187" s="79">
        <v>46</v>
      </c>
      <c r="E187" s="79">
        <v>32</v>
      </c>
      <c r="F187" s="79">
        <v>32</v>
      </c>
      <c r="G187" s="79">
        <v>11</v>
      </c>
      <c r="H187" s="79">
        <v>30</v>
      </c>
      <c r="I187" s="79">
        <v>19</v>
      </c>
      <c r="J187" s="79">
        <v>29</v>
      </c>
      <c r="K187" s="79">
        <v>36</v>
      </c>
      <c r="L187" s="79">
        <v>32</v>
      </c>
      <c r="M187" s="79">
        <v>38</v>
      </c>
      <c r="N187" s="79">
        <v>40</v>
      </c>
      <c r="O187" s="77" t="s">
        <v>277</v>
      </c>
      <c r="P187" s="80">
        <f t="shared" si="6"/>
        <v>380</v>
      </c>
      <c r="Q187" s="80">
        <f t="shared" si="7"/>
        <v>63.333333333333329</v>
      </c>
      <c r="R187" s="80">
        <f t="shared" si="8"/>
        <v>12.666666666666666</v>
      </c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</row>
    <row r="188" spans="1:33" x14ac:dyDescent="0.25">
      <c r="A188" s="77">
        <v>4</v>
      </c>
      <c r="B188" s="78" t="s">
        <v>189</v>
      </c>
      <c r="C188" s="79">
        <v>39</v>
      </c>
      <c r="D188" s="79">
        <v>46</v>
      </c>
      <c r="E188" s="79">
        <v>35</v>
      </c>
      <c r="F188" s="79">
        <v>37</v>
      </c>
      <c r="G188" s="79">
        <v>38</v>
      </c>
      <c r="H188" s="79">
        <v>40</v>
      </c>
      <c r="I188" s="79">
        <v>32</v>
      </c>
      <c r="J188" s="79">
        <v>34</v>
      </c>
      <c r="K188" s="79">
        <v>37</v>
      </c>
      <c r="L188" s="79">
        <v>38</v>
      </c>
      <c r="M188" s="79">
        <v>47</v>
      </c>
      <c r="N188" s="79">
        <v>40</v>
      </c>
      <c r="O188" s="77" t="s">
        <v>277</v>
      </c>
      <c r="P188" s="80">
        <f t="shared" si="6"/>
        <v>463</v>
      </c>
      <c r="Q188" s="80">
        <f t="shared" si="7"/>
        <v>77.166666666666657</v>
      </c>
      <c r="R188" s="80">
        <f t="shared" si="8"/>
        <v>15.433333333333332</v>
      </c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</row>
    <row r="189" spans="1:33" x14ac:dyDescent="0.25">
      <c r="A189" s="77">
        <v>5</v>
      </c>
      <c r="B189" s="78" t="s">
        <v>190</v>
      </c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7" t="s">
        <v>277</v>
      </c>
      <c r="P189" s="80">
        <f t="shared" si="6"/>
        <v>0</v>
      </c>
      <c r="Q189" s="80">
        <f t="shared" si="7"/>
        <v>0</v>
      </c>
      <c r="R189" s="80">
        <f t="shared" si="8"/>
        <v>0</v>
      </c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</row>
    <row r="190" spans="1:33" x14ac:dyDescent="0.25">
      <c r="A190" s="77">
        <v>6</v>
      </c>
      <c r="B190" s="78" t="s">
        <v>191</v>
      </c>
      <c r="C190" s="79">
        <v>43</v>
      </c>
      <c r="D190" s="79">
        <v>50</v>
      </c>
      <c r="E190" s="79">
        <v>44</v>
      </c>
      <c r="F190" s="79">
        <v>39</v>
      </c>
      <c r="G190" s="79">
        <v>28</v>
      </c>
      <c r="H190" s="79">
        <v>28</v>
      </c>
      <c r="I190" s="79">
        <v>39</v>
      </c>
      <c r="J190" s="79">
        <v>30</v>
      </c>
      <c r="K190" s="79">
        <v>48</v>
      </c>
      <c r="L190" s="79">
        <v>43</v>
      </c>
      <c r="M190" s="79">
        <v>31</v>
      </c>
      <c r="N190" s="79">
        <v>36</v>
      </c>
      <c r="O190" s="77" t="s">
        <v>277</v>
      </c>
      <c r="P190" s="80">
        <f t="shared" si="6"/>
        <v>459</v>
      </c>
      <c r="Q190" s="80">
        <f t="shared" si="7"/>
        <v>76.5</v>
      </c>
      <c r="R190" s="80">
        <f t="shared" si="8"/>
        <v>15.3</v>
      </c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</row>
    <row r="191" spans="1:33" x14ac:dyDescent="0.25">
      <c r="A191" s="77">
        <v>7</v>
      </c>
      <c r="B191" s="78" t="s">
        <v>192</v>
      </c>
      <c r="C191" s="79">
        <v>45</v>
      </c>
      <c r="D191" s="79">
        <v>50</v>
      </c>
      <c r="E191" s="79">
        <v>43</v>
      </c>
      <c r="F191" s="79">
        <v>48</v>
      </c>
      <c r="G191" s="79">
        <v>39</v>
      </c>
      <c r="H191" s="79">
        <v>45</v>
      </c>
      <c r="I191" s="79">
        <v>42</v>
      </c>
      <c r="J191" s="79">
        <v>34</v>
      </c>
      <c r="K191" s="79">
        <v>48</v>
      </c>
      <c r="L191" s="79">
        <v>46</v>
      </c>
      <c r="M191" s="79">
        <v>48</v>
      </c>
      <c r="N191" s="79">
        <v>47</v>
      </c>
      <c r="O191" s="77" t="s">
        <v>277</v>
      </c>
      <c r="P191" s="80">
        <f t="shared" si="6"/>
        <v>535</v>
      </c>
      <c r="Q191" s="80">
        <f t="shared" si="7"/>
        <v>89.166666666666671</v>
      </c>
      <c r="R191" s="80">
        <f t="shared" si="8"/>
        <v>17.833333333333336</v>
      </c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</row>
    <row r="192" spans="1:33" x14ac:dyDescent="0.25">
      <c r="A192" s="77">
        <v>8</v>
      </c>
      <c r="B192" s="78" t="s">
        <v>193</v>
      </c>
      <c r="C192" s="79">
        <v>44</v>
      </c>
      <c r="D192" s="79">
        <v>50</v>
      </c>
      <c r="E192" s="79">
        <v>44</v>
      </c>
      <c r="F192" s="79">
        <v>34</v>
      </c>
      <c r="G192" s="79">
        <v>29</v>
      </c>
      <c r="H192" s="79">
        <v>30</v>
      </c>
      <c r="I192" s="79">
        <v>40</v>
      </c>
      <c r="J192" s="79">
        <v>28</v>
      </c>
      <c r="K192" s="79">
        <v>48</v>
      </c>
      <c r="L192" s="79">
        <v>44</v>
      </c>
      <c r="M192" s="79">
        <v>31</v>
      </c>
      <c r="N192" s="79">
        <v>36</v>
      </c>
      <c r="O192" s="77" t="s">
        <v>277</v>
      </c>
      <c r="P192" s="80">
        <f t="shared" si="6"/>
        <v>458</v>
      </c>
      <c r="Q192" s="80">
        <f t="shared" si="7"/>
        <v>76.333333333333329</v>
      </c>
      <c r="R192" s="80">
        <f t="shared" si="8"/>
        <v>15.266666666666666</v>
      </c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</row>
    <row r="193" spans="1:33" x14ac:dyDescent="0.25">
      <c r="A193" s="77">
        <v>9</v>
      </c>
      <c r="B193" s="78" t="s">
        <v>194</v>
      </c>
      <c r="C193" s="79">
        <v>44</v>
      </c>
      <c r="D193" s="79">
        <v>46</v>
      </c>
      <c r="E193" s="79">
        <v>41</v>
      </c>
      <c r="F193" s="79">
        <v>45</v>
      </c>
      <c r="G193" s="79">
        <v>42</v>
      </c>
      <c r="H193" s="79">
        <v>39</v>
      </c>
      <c r="I193" s="79">
        <v>40</v>
      </c>
      <c r="J193" s="79">
        <v>41</v>
      </c>
      <c r="K193" s="79">
        <v>45</v>
      </c>
      <c r="L193" s="79">
        <v>42</v>
      </c>
      <c r="M193" s="79">
        <v>45</v>
      </c>
      <c r="N193" s="79">
        <v>50</v>
      </c>
      <c r="O193" s="77" t="s">
        <v>277</v>
      </c>
      <c r="P193" s="80">
        <f t="shared" si="6"/>
        <v>520</v>
      </c>
      <c r="Q193" s="80">
        <f t="shared" si="7"/>
        <v>86.666666666666671</v>
      </c>
      <c r="R193" s="80">
        <f t="shared" si="8"/>
        <v>17.333333333333336</v>
      </c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</row>
    <row r="194" spans="1:33" x14ac:dyDescent="0.25">
      <c r="A194" s="77">
        <v>10</v>
      </c>
      <c r="B194" s="78" t="s">
        <v>195</v>
      </c>
      <c r="C194" s="79">
        <v>42</v>
      </c>
      <c r="D194" s="79">
        <v>40</v>
      </c>
      <c r="E194" s="79">
        <v>30</v>
      </c>
      <c r="F194" s="79">
        <v>45</v>
      </c>
      <c r="G194" s="79">
        <v>39</v>
      </c>
      <c r="H194" s="79">
        <v>29</v>
      </c>
      <c r="I194" s="79">
        <v>33</v>
      </c>
      <c r="J194" s="79">
        <v>34</v>
      </c>
      <c r="K194" s="79">
        <v>33</v>
      </c>
      <c r="L194" s="79">
        <v>45</v>
      </c>
      <c r="M194" s="79">
        <v>46</v>
      </c>
      <c r="N194" s="79">
        <v>39</v>
      </c>
      <c r="O194" s="77" t="s">
        <v>277</v>
      </c>
      <c r="P194" s="80">
        <f t="shared" si="6"/>
        <v>455</v>
      </c>
      <c r="Q194" s="80">
        <f t="shared" si="7"/>
        <v>75.833333333333329</v>
      </c>
      <c r="R194" s="80">
        <f t="shared" si="8"/>
        <v>15.166666666666666</v>
      </c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</row>
    <row r="195" spans="1:33" x14ac:dyDescent="0.25">
      <c r="A195" s="77">
        <v>11</v>
      </c>
      <c r="B195" s="78" t="s">
        <v>196</v>
      </c>
      <c r="C195" s="79">
        <v>32</v>
      </c>
      <c r="D195" s="79">
        <v>43</v>
      </c>
      <c r="E195" s="79">
        <v>34</v>
      </c>
      <c r="F195" s="79">
        <v>30</v>
      </c>
      <c r="G195" s="79">
        <v>27</v>
      </c>
      <c r="H195" s="79">
        <v>25</v>
      </c>
      <c r="I195" s="79">
        <v>19</v>
      </c>
      <c r="J195" s="79">
        <v>23</v>
      </c>
      <c r="K195" s="79">
        <v>38</v>
      </c>
      <c r="L195" s="79">
        <v>36</v>
      </c>
      <c r="M195" s="79">
        <v>42</v>
      </c>
      <c r="N195" s="79">
        <v>40</v>
      </c>
      <c r="O195" s="77" t="s">
        <v>277</v>
      </c>
      <c r="P195" s="80">
        <f t="shared" ref="P195:P232" si="9">SUM(C195:N195)</f>
        <v>389</v>
      </c>
      <c r="Q195" s="80">
        <f t="shared" ref="Q195:Q232" si="10">(P195/600)*100</f>
        <v>64.833333333333329</v>
      </c>
      <c r="R195" s="80">
        <f t="shared" ref="R195:R232" si="11">Q195*0.2</f>
        <v>12.966666666666667</v>
      </c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</row>
    <row r="196" spans="1:33" x14ac:dyDescent="0.25">
      <c r="A196" s="77">
        <v>12</v>
      </c>
      <c r="B196" s="78" t="s">
        <v>197</v>
      </c>
      <c r="C196" s="79"/>
      <c r="D196" s="79"/>
      <c r="E196" s="79">
        <v>29</v>
      </c>
      <c r="F196" s="79">
        <v>38</v>
      </c>
      <c r="G196" s="79">
        <v>35</v>
      </c>
      <c r="H196" s="79">
        <v>11</v>
      </c>
      <c r="I196" s="79">
        <v>17</v>
      </c>
      <c r="J196" s="79">
        <v>12</v>
      </c>
      <c r="K196" s="79">
        <v>25</v>
      </c>
      <c r="L196" s="79">
        <v>19</v>
      </c>
      <c r="M196" s="79">
        <v>16</v>
      </c>
      <c r="N196" s="79">
        <v>38</v>
      </c>
      <c r="O196" s="77" t="s">
        <v>277</v>
      </c>
      <c r="P196" s="80">
        <f t="shared" si="9"/>
        <v>240</v>
      </c>
      <c r="Q196" s="80">
        <f t="shared" si="10"/>
        <v>40</v>
      </c>
      <c r="R196" s="80">
        <f t="shared" si="11"/>
        <v>8</v>
      </c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1:33" x14ac:dyDescent="0.25">
      <c r="A197" s="77">
        <v>13</v>
      </c>
      <c r="B197" s="78" t="s">
        <v>198</v>
      </c>
      <c r="C197" s="79">
        <v>18</v>
      </c>
      <c r="D197" s="79">
        <v>37</v>
      </c>
      <c r="E197" s="79">
        <v>24</v>
      </c>
      <c r="F197" s="79">
        <v>24</v>
      </c>
      <c r="G197" s="79">
        <v>22</v>
      </c>
      <c r="H197" s="79">
        <v>29</v>
      </c>
      <c r="I197" s="79">
        <v>32</v>
      </c>
      <c r="J197" s="79">
        <v>34</v>
      </c>
      <c r="K197" s="79">
        <v>40</v>
      </c>
      <c r="L197" s="79">
        <v>37</v>
      </c>
      <c r="M197" s="79">
        <v>37</v>
      </c>
      <c r="N197" s="79">
        <v>37</v>
      </c>
      <c r="O197" s="77" t="s">
        <v>277</v>
      </c>
      <c r="P197" s="80">
        <f t="shared" si="9"/>
        <v>371</v>
      </c>
      <c r="Q197" s="80">
        <f t="shared" si="10"/>
        <v>61.833333333333329</v>
      </c>
      <c r="R197" s="80">
        <f t="shared" si="11"/>
        <v>12.366666666666667</v>
      </c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</row>
    <row r="198" spans="1:33" x14ac:dyDescent="0.25">
      <c r="A198" s="77">
        <v>14</v>
      </c>
      <c r="B198" s="78" t="s">
        <v>199</v>
      </c>
      <c r="C198" s="79">
        <v>40</v>
      </c>
      <c r="D198" s="79">
        <v>47</v>
      </c>
      <c r="E198" s="79">
        <v>44</v>
      </c>
      <c r="F198" s="79">
        <v>48</v>
      </c>
      <c r="G198" s="79">
        <v>45</v>
      </c>
      <c r="H198" s="79">
        <v>45</v>
      </c>
      <c r="I198" s="79">
        <v>46</v>
      </c>
      <c r="J198" s="79">
        <v>42</v>
      </c>
      <c r="K198" s="79">
        <v>50</v>
      </c>
      <c r="L198" s="79">
        <v>46</v>
      </c>
      <c r="M198" s="79">
        <v>48</v>
      </c>
      <c r="N198" s="79">
        <v>34</v>
      </c>
      <c r="O198" s="77" t="s">
        <v>277</v>
      </c>
      <c r="P198" s="80">
        <f t="shared" si="9"/>
        <v>535</v>
      </c>
      <c r="Q198" s="80">
        <f t="shared" si="10"/>
        <v>89.166666666666671</v>
      </c>
      <c r="R198" s="80">
        <f t="shared" si="11"/>
        <v>17.833333333333336</v>
      </c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</row>
    <row r="199" spans="1:33" x14ac:dyDescent="0.25">
      <c r="A199" s="77">
        <v>15</v>
      </c>
      <c r="B199" s="78" t="s">
        <v>200</v>
      </c>
      <c r="C199" s="79">
        <v>42</v>
      </c>
      <c r="D199" s="79">
        <v>50</v>
      </c>
      <c r="E199" s="79">
        <v>39</v>
      </c>
      <c r="F199" s="79">
        <v>40</v>
      </c>
      <c r="G199" s="79">
        <v>33</v>
      </c>
      <c r="H199" s="79">
        <v>38</v>
      </c>
      <c r="I199" s="79">
        <v>38</v>
      </c>
      <c r="J199" s="79">
        <v>32</v>
      </c>
      <c r="K199" s="79">
        <v>36</v>
      </c>
      <c r="L199" s="79">
        <v>39</v>
      </c>
      <c r="M199" s="79">
        <v>41</v>
      </c>
      <c r="N199" s="79">
        <v>41</v>
      </c>
      <c r="O199" s="77" t="s">
        <v>277</v>
      </c>
      <c r="P199" s="80">
        <f t="shared" si="9"/>
        <v>469</v>
      </c>
      <c r="Q199" s="80">
        <f t="shared" si="10"/>
        <v>78.166666666666657</v>
      </c>
      <c r="R199" s="80">
        <f t="shared" si="11"/>
        <v>15.633333333333333</v>
      </c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</row>
    <row r="200" spans="1:33" x14ac:dyDescent="0.25">
      <c r="A200" s="77">
        <v>16</v>
      </c>
      <c r="B200" s="78" t="s">
        <v>201</v>
      </c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7" t="s">
        <v>277</v>
      </c>
      <c r="P200" s="80">
        <f t="shared" si="9"/>
        <v>0</v>
      </c>
      <c r="Q200" s="80">
        <f t="shared" si="10"/>
        <v>0</v>
      </c>
      <c r="R200" s="80">
        <f t="shared" si="11"/>
        <v>0</v>
      </c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</row>
    <row r="201" spans="1:33" x14ac:dyDescent="0.25">
      <c r="A201" s="77">
        <v>17</v>
      </c>
      <c r="B201" s="78" t="s">
        <v>202</v>
      </c>
      <c r="C201" s="79">
        <v>39</v>
      </c>
      <c r="D201" s="79">
        <v>48</v>
      </c>
      <c r="E201" s="79">
        <v>37</v>
      </c>
      <c r="F201" s="79">
        <v>40</v>
      </c>
      <c r="G201" s="79">
        <v>40</v>
      </c>
      <c r="H201" s="79">
        <v>39</v>
      </c>
      <c r="I201" s="79">
        <v>34</v>
      </c>
      <c r="J201" s="79">
        <v>34</v>
      </c>
      <c r="K201" s="79">
        <v>42</v>
      </c>
      <c r="L201" s="79">
        <v>42</v>
      </c>
      <c r="M201" s="79">
        <v>45</v>
      </c>
      <c r="N201" s="79">
        <v>43</v>
      </c>
      <c r="O201" s="77" t="s">
        <v>277</v>
      </c>
      <c r="P201" s="80">
        <f t="shared" si="9"/>
        <v>483</v>
      </c>
      <c r="Q201" s="80">
        <f t="shared" si="10"/>
        <v>80.5</v>
      </c>
      <c r="R201" s="80">
        <f t="shared" si="11"/>
        <v>16.100000000000001</v>
      </c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</row>
    <row r="202" spans="1:33" x14ac:dyDescent="0.25">
      <c r="A202" s="77">
        <v>18</v>
      </c>
      <c r="B202" s="78" t="s">
        <v>203</v>
      </c>
      <c r="C202" s="79">
        <v>43</v>
      </c>
      <c r="D202" s="79">
        <v>50</v>
      </c>
      <c r="E202" s="79">
        <v>42</v>
      </c>
      <c r="F202" s="79">
        <v>38</v>
      </c>
      <c r="G202" s="79">
        <v>37</v>
      </c>
      <c r="H202" s="79">
        <v>35</v>
      </c>
      <c r="I202" s="79">
        <v>34</v>
      </c>
      <c r="J202" s="79">
        <v>31</v>
      </c>
      <c r="K202" s="79">
        <v>39</v>
      </c>
      <c r="L202" s="79">
        <v>41</v>
      </c>
      <c r="M202" s="79">
        <v>44</v>
      </c>
      <c r="N202" s="79">
        <v>50</v>
      </c>
      <c r="O202" s="77" t="s">
        <v>277</v>
      </c>
      <c r="P202" s="80">
        <f t="shared" si="9"/>
        <v>484</v>
      </c>
      <c r="Q202" s="80">
        <f t="shared" si="10"/>
        <v>80.666666666666657</v>
      </c>
      <c r="R202" s="80">
        <f t="shared" si="11"/>
        <v>16.133333333333333</v>
      </c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</row>
    <row r="203" spans="1:33" x14ac:dyDescent="0.25">
      <c r="A203" s="77">
        <v>19</v>
      </c>
      <c r="B203" s="78" t="s">
        <v>204</v>
      </c>
      <c r="C203" s="79">
        <v>29</v>
      </c>
      <c r="D203" s="79">
        <v>33</v>
      </c>
      <c r="E203" s="79">
        <v>26</v>
      </c>
      <c r="F203" s="79">
        <v>30</v>
      </c>
      <c r="G203" s="79">
        <v>26</v>
      </c>
      <c r="H203" s="79">
        <v>20</v>
      </c>
      <c r="I203" s="79">
        <v>31</v>
      </c>
      <c r="J203" s="79">
        <v>24</v>
      </c>
      <c r="K203" s="79">
        <v>36</v>
      </c>
      <c r="L203" s="79">
        <v>34</v>
      </c>
      <c r="M203" s="79">
        <v>35</v>
      </c>
      <c r="N203" s="79">
        <v>37</v>
      </c>
      <c r="O203" s="77" t="s">
        <v>277</v>
      </c>
      <c r="P203" s="80">
        <f t="shared" si="9"/>
        <v>361</v>
      </c>
      <c r="Q203" s="80">
        <f t="shared" si="10"/>
        <v>60.166666666666671</v>
      </c>
      <c r="R203" s="80">
        <f t="shared" si="11"/>
        <v>12.033333333333335</v>
      </c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</row>
    <row r="204" spans="1:33" x14ac:dyDescent="0.25">
      <c r="A204" s="77">
        <v>20</v>
      </c>
      <c r="B204" s="78" t="s">
        <v>205</v>
      </c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7" t="s">
        <v>277</v>
      </c>
      <c r="P204" s="80">
        <f t="shared" si="9"/>
        <v>0</v>
      </c>
      <c r="Q204" s="80">
        <f t="shared" si="10"/>
        <v>0</v>
      </c>
      <c r="R204" s="80">
        <f t="shared" si="11"/>
        <v>0</v>
      </c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</row>
    <row r="205" spans="1:33" x14ac:dyDescent="0.25">
      <c r="A205" s="77">
        <v>21</v>
      </c>
      <c r="B205" s="78" t="s">
        <v>206</v>
      </c>
      <c r="C205" s="79">
        <v>46</v>
      </c>
      <c r="D205" s="79">
        <v>50</v>
      </c>
      <c r="E205" s="79">
        <v>38</v>
      </c>
      <c r="F205" s="79">
        <v>45</v>
      </c>
      <c r="G205" s="79">
        <v>35</v>
      </c>
      <c r="H205" s="79">
        <v>40</v>
      </c>
      <c r="I205" s="79">
        <v>44</v>
      </c>
      <c r="J205" s="79">
        <v>36</v>
      </c>
      <c r="K205" s="79">
        <v>49</v>
      </c>
      <c r="L205" s="79">
        <v>41</v>
      </c>
      <c r="M205" s="79">
        <v>48</v>
      </c>
      <c r="N205" s="79">
        <v>47</v>
      </c>
      <c r="O205" s="77" t="s">
        <v>277</v>
      </c>
      <c r="P205" s="80">
        <f t="shared" si="9"/>
        <v>519</v>
      </c>
      <c r="Q205" s="80">
        <f t="shared" si="10"/>
        <v>86.5</v>
      </c>
      <c r="R205" s="80">
        <f t="shared" si="11"/>
        <v>17.3</v>
      </c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</row>
    <row r="206" spans="1:33" x14ac:dyDescent="0.25">
      <c r="A206" s="77">
        <v>22</v>
      </c>
      <c r="B206" s="78" t="s">
        <v>207</v>
      </c>
      <c r="C206" s="79">
        <v>38</v>
      </c>
      <c r="D206" s="79">
        <v>44</v>
      </c>
      <c r="E206" s="79">
        <v>38</v>
      </c>
      <c r="F206" s="79">
        <v>40</v>
      </c>
      <c r="G206" s="79">
        <v>35</v>
      </c>
      <c r="H206" s="79">
        <v>32</v>
      </c>
      <c r="I206" s="79">
        <v>36</v>
      </c>
      <c r="J206" s="79">
        <v>27</v>
      </c>
      <c r="K206" s="79">
        <v>41</v>
      </c>
      <c r="L206" s="79">
        <v>40</v>
      </c>
      <c r="M206" s="79">
        <v>41</v>
      </c>
      <c r="N206" s="79">
        <v>44</v>
      </c>
      <c r="O206" s="77" t="s">
        <v>277</v>
      </c>
      <c r="P206" s="80">
        <f t="shared" si="9"/>
        <v>456</v>
      </c>
      <c r="Q206" s="80">
        <f t="shared" si="10"/>
        <v>76</v>
      </c>
      <c r="R206" s="80">
        <f t="shared" si="11"/>
        <v>15.200000000000001</v>
      </c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</row>
    <row r="207" spans="1:33" x14ac:dyDescent="0.25">
      <c r="A207" s="77">
        <v>23</v>
      </c>
      <c r="B207" s="78" t="s">
        <v>208</v>
      </c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7" t="s">
        <v>277</v>
      </c>
      <c r="P207" s="80">
        <f t="shared" si="9"/>
        <v>0</v>
      </c>
      <c r="Q207" s="80">
        <f t="shared" si="10"/>
        <v>0</v>
      </c>
      <c r="R207" s="80">
        <f t="shared" si="11"/>
        <v>0</v>
      </c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</row>
    <row r="208" spans="1:33" x14ac:dyDescent="0.25">
      <c r="A208" s="77">
        <v>24</v>
      </c>
      <c r="B208" s="78" t="s">
        <v>209</v>
      </c>
      <c r="C208" s="79">
        <v>38</v>
      </c>
      <c r="D208" s="79">
        <v>41</v>
      </c>
      <c r="E208" s="79">
        <v>31</v>
      </c>
      <c r="F208" s="79">
        <v>31</v>
      </c>
      <c r="G208" s="79">
        <v>26</v>
      </c>
      <c r="H208" s="79">
        <v>30</v>
      </c>
      <c r="I208" s="79">
        <v>23</v>
      </c>
      <c r="J208" s="79">
        <v>32</v>
      </c>
      <c r="K208" s="79">
        <v>34</v>
      </c>
      <c r="L208" s="79">
        <v>31</v>
      </c>
      <c r="M208" s="79">
        <v>36</v>
      </c>
      <c r="N208" s="79">
        <v>37</v>
      </c>
      <c r="O208" s="77" t="s">
        <v>277</v>
      </c>
      <c r="P208" s="80">
        <f t="shared" si="9"/>
        <v>390</v>
      </c>
      <c r="Q208" s="80">
        <f t="shared" si="10"/>
        <v>65</v>
      </c>
      <c r="R208" s="80">
        <f t="shared" si="11"/>
        <v>13</v>
      </c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1:33" x14ac:dyDescent="0.25">
      <c r="A209" s="77">
        <v>25</v>
      </c>
      <c r="B209" s="78" t="s">
        <v>210</v>
      </c>
      <c r="C209" s="79">
        <v>37</v>
      </c>
      <c r="D209" s="79">
        <v>45</v>
      </c>
      <c r="E209" s="79">
        <v>24</v>
      </c>
      <c r="F209" s="79">
        <v>25</v>
      </c>
      <c r="G209" s="79">
        <v>31</v>
      </c>
      <c r="H209" s="79">
        <v>26</v>
      </c>
      <c r="I209" s="79">
        <v>24</v>
      </c>
      <c r="J209" s="79">
        <v>26</v>
      </c>
      <c r="K209" s="79">
        <v>43</v>
      </c>
      <c r="L209" s="79">
        <v>38</v>
      </c>
      <c r="M209" s="79">
        <v>42</v>
      </c>
      <c r="N209" s="79">
        <v>42</v>
      </c>
      <c r="O209" s="77" t="s">
        <v>277</v>
      </c>
      <c r="P209" s="80">
        <f t="shared" si="9"/>
        <v>403</v>
      </c>
      <c r="Q209" s="80">
        <f t="shared" si="10"/>
        <v>67.166666666666657</v>
      </c>
      <c r="R209" s="80">
        <f t="shared" si="11"/>
        <v>13.433333333333332</v>
      </c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1:33" x14ac:dyDescent="0.25">
      <c r="A210" s="77">
        <v>26</v>
      </c>
      <c r="B210" s="78" t="s">
        <v>211</v>
      </c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7" t="s">
        <v>277</v>
      </c>
      <c r="P210" s="80">
        <f t="shared" si="9"/>
        <v>0</v>
      </c>
      <c r="Q210" s="80">
        <f t="shared" si="10"/>
        <v>0</v>
      </c>
      <c r="R210" s="80">
        <f t="shared" si="11"/>
        <v>0</v>
      </c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1:33" x14ac:dyDescent="0.25">
      <c r="A211" s="77">
        <v>27</v>
      </c>
      <c r="B211" s="78" t="s">
        <v>212</v>
      </c>
      <c r="C211" s="79">
        <v>35</v>
      </c>
      <c r="D211" s="79">
        <v>42</v>
      </c>
      <c r="E211" s="79">
        <v>30</v>
      </c>
      <c r="F211" s="79">
        <v>30</v>
      </c>
      <c r="G211" s="79">
        <v>18</v>
      </c>
      <c r="H211" s="79">
        <v>31</v>
      </c>
      <c r="I211" s="79">
        <v>19</v>
      </c>
      <c r="J211" s="79">
        <v>29</v>
      </c>
      <c r="K211" s="79">
        <v>33</v>
      </c>
      <c r="L211" s="79">
        <v>34</v>
      </c>
      <c r="M211" s="79">
        <v>34</v>
      </c>
      <c r="N211" s="79">
        <v>37</v>
      </c>
      <c r="O211" s="77" t="s">
        <v>277</v>
      </c>
      <c r="P211" s="80">
        <f t="shared" si="9"/>
        <v>372</v>
      </c>
      <c r="Q211" s="80">
        <f t="shared" si="10"/>
        <v>62</v>
      </c>
      <c r="R211" s="80">
        <f t="shared" si="11"/>
        <v>12.4</v>
      </c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</row>
    <row r="212" spans="1:33" x14ac:dyDescent="0.25">
      <c r="A212" s="77">
        <v>28</v>
      </c>
      <c r="B212" s="78" t="s">
        <v>213</v>
      </c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7" t="s">
        <v>277</v>
      </c>
      <c r="P212" s="80">
        <f t="shared" si="9"/>
        <v>0</v>
      </c>
      <c r="Q212" s="80">
        <f t="shared" si="10"/>
        <v>0</v>
      </c>
      <c r="R212" s="80">
        <f t="shared" si="11"/>
        <v>0</v>
      </c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</row>
    <row r="213" spans="1:33" x14ac:dyDescent="0.25">
      <c r="A213" s="77">
        <v>29</v>
      </c>
      <c r="B213" s="78" t="s">
        <v>214</v>
      </c>
      <c r="C213" s="79">
        <v>30</v>
      </c>
      <c r="D213" s="79">
        <v>42</v>
      </c>
      <c r="E213" s="79">
        <v>24</v>
      </c>
      <c r="F213" s="79">
        <v>21</v>
      </c>
      <c r="G213" s="79">
        <v>25</v>
      </c>
      <c r="H213" s="79">
        <v>26</v>
      </c>
      <c r="I213" s="79">
        <v>22</v>
      </c>
      <c r="J213" s="79">
        <v>22</v>
      </c>
      <c r="K213" s="79">
        <v>23</v>
      </c>
      <c r="L213" s="79">
        <v>25</v>
      </c>
      <c r="M213" s="79">
        <v>37</v>
      </c>
      <c r="N213" s="79">
        <v>34</v>
      </c>
      <c r="O213" s="77" t="s">
        <v>277</v>
      </c>
      <c r="P213" s="80">
        <f t="shared" si="9"/>
        <v>331</v>
      </c>
      <c r="Q213" s="80">
        <f t="shared" si="10"/>
        <v>55.166666666666664</v>
      </c>
      <c r="R213" s="80">
        <f t="shared" si="11"/>
        <v>11.033333333333333</v>
      </c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</row>
    <row r="214" spans="1:33" x14ac:dyDescent="0.25">
      <c r="A214" s="77">
        <v>30</v>
      </c>
      <c r="B214" s="78" t="s">
        <v>215</v>
      </c>
      <c r="C214" s="79">
        <v>49</v>
      </c>
      <c r="D214" s="79">
        <v>48</v>
      </c>
      <c r="E214" s="79">
        <v>44</v>
      </c>
      <c r="F214" s="79">
        <v>40</v>
      </c>
      <c r="G214" s="79">
        <v>45</v>
      </c>
      <c r="H214" s="79">
        <v>19</v>
      </c>
      <c r="I214" s="79">
        <v>45</v>
      </c>
      <c r="J214" s="79">
        <v>41</v>
      </c>
      <c r="K214" s="79">
        <v>42</v>
      </c>
      <c r="L214" s="79">
        <v>47</v>
      </c>
      <c r="M214" s="79">
        <v>47</v>
      </c>
      <c r="N214" s="79">
        <v>50</v>
      </c>
      <c r="O214" s="77" t="s">
        <v>277</v>
      </c>
      <c r="P214" s="80">
        <f t="shared" si="9"/>
        <v>517</v>
      </c>
      <c r="Q214" s="80">
        <f t="shared" si="10"/>
        <v>86.166666666666671</v>
      </c>
      <c r="R214" s="80">
        <f t="shared" si="11"/>
        <v>17.233333333333334</v>
      </c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</row>
    <row r="215" spans="1:33" x14ac:dyDescent="0.25">
      <c r="A215" s="77">
        <v>31</v>
      </c>
      <c r="B215" s="78" t="s">
        <v>216</v>
      </c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7" t="s">
        <v>277</v>
      </c>
      <c r="P215" s="80">
        <f t="shared" si="9"/>
        <v>0</v>
      </c>
      <c r="Q215" s="80">
        <f t="shared" si="10"/>
        <v>0</v>
      </c>
      <c r="R215" s="80">
        <f t="shared" si="11"/>
        <v>0</v>
      </c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</row>
    <row r="216" spans="1:33" x14ac:dyDescent="0.25">
      <c r="A216" s="77">
        <v>32</v>
      </c>
      <c r="B216" s="78" t="s">
        <v>217</v>
      </c>
      <c r="C216" s="79">
        <v>32</v>
      </c>
      <c r="D216" s="79">
        <v>37</v>
      </c>
      <c r="E216" s="79">
        <v>36</v>
      </c>
      <c r="F216" s="79"/>
      <c r="G216" s="79">
        <v>23</v>
      </c>
      <c r="H216" s="79">
        <v>25</v>
      </c>
      <c r="I216" s="79">
        <v>14</v>
      </c>
      <c r="J216" s="79">
        <v>21</v>
      </c>
      <c r="K216" s="79">
        <v>25</v>
      </c>
      <c r="L216" s="79">
        <v>18</v>
      </c>
      <c r="M216" s="79">
        <v>32</v>
      </c>
      <c r="N216" s="79">
        <v>35</v>
      </c>
      <c r="O216" s="77" t="s">
        <v>277</v>
      </c>
      <c r="P216" s="80">
        <f t="shared" si="9"/>
        <v>298</v>
      </c>
      <c r="Q216" s="80">
        <f t="shared" si="10"/>
        <v>49.666666666666664</v>
      </c>
      <c r="R216" s="80">
        <f t="shared" si="11"/>
        <v>9.9333333333333336</v>
      </c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</row>
    <row r="217" spans="1:33" x14ac:dyDescent="0.25">
      <c r="A217" s="77">
        <v>33</v>
      </c>
      <c r="B217" s="78" t="s">
        <v>218</v>
      </c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7" t="s">
        <v>277</v>
      </c>
      <c r="P217" s="80">
        <f t="shared" si="9"/>
        <v>0</v>
      </c>
      <c r="Q217" s="80">
        <f t="shared" si="10"/>
        <v>0</v>
      </c>
      <c r="R217" s="80">
        <f t="shared" si="11"/>
        <v>0</v>
      </c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</row>
    <row r="218" spans="1:33" x14ac:dyDescent="0.25">
      <c r="A218" s="77">
        <v>34</v>
      </c>
      <c r="B218" s="78" t="s">
        <v>219</v>
      </c>
      <c r="C218" s="79">
        <v>37</v>
      </c>
      <c r="D218" s="79">
        <v>43</v>
      </c>
      <c r="E218" s="79">
        <v>39</v>
      </c>
      <c r="F218" s="79">
        <v>34</v>
      </c>
      <c r="G218" s="79">
        <v>37</v>
      </c>
      <c r="H218" s="79">
        <v>39</v>
      </c>
      <c r="I218" s="79">
        <v>41</v>
      </c>
      <c r="J218" s="79">
        <v>31</v>
      </c>
      <c r="K218" s="79">
        <v>48</v>
      </c>
      <c r="L218" s="79">
        <v>38</v>
      </c>
      <c r="M218" s="79">
        <v>43</v>
      </c>
      <c r="N218" s="79">
        <v>46</v>
      </c>
      <c r="O218" s="77" t="s">
        <v>277</v>
      </c>
      <c r="P218" s="80">
        <f t="shared" si="9"/>
        <v>476</v>
      </c>
      <c r="Q218" s="80">
        <f t="shared" si="10"/>
        <v>79.333333333333329</v>
      </c>
      <c r="R218" s="80">
        <f t="shared" si="11"/>
        <v>15.866666666666667</v>
      </c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</row>
    <row r="219" spans="1:33" x14ac:dyDescent="0.25">
      <c r="A219" s="77">
        <v>35</v>
      </c>
      <c r="B219" s="78" t="s">
        <v>220</v>
      </c>
      <c r="C219" s="79">
        <v>39</v>
      </c>
      <c r="D219" s="79">
        <v>43</v>
      </c>
      <c r="E219" s="79">
        <v>37</v>
      </c>
      <c r="F219" s="79">
        <v>46</v>
      </c>
      <c r="G219" s="79">
        <v>39</v>
      </c>
      <c r="H219" s="79">
        <v>34</v>
      </c>
      <c r="I219" s="79">
        <v>40</v>
      </c>
      <c r="J219" s="79">
        <v>38</v>
      </c>
      <c r="K219" s="79">
        <v>46</v>
      </c>
      <c r="L219" s="79">
        <v>43</v>
      </c>
      <c r="M219" s="79">
        <v>47</v>
      </c>
      <c r="N219" s="79">
        <v>41</v>
      </c>
      <c r="O219" s="77" t="s">
        <v>277</v>
      </c>
      <c r="P219" s="80">
        <f t="shared" si="9"/>
        <v>493</v>
      </c>
      <c r="Q219" s="80">
        <f t="shared" si="10"/>
        <v>82.166666666666671</v>
      </c>
      <c r="R219" s="80">
        <f t="shared" si="11"/>
        <v>16.433333333333334</v>
      </c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</row>
    <row r="220" spans="1:33" x14ac:dyDescent="0.25">
      <c r="A220" s="77">
        <v>36</v>
      </c>
      <c r="B220" s="78" t="s">
        <v>221</v>
      </c>
      <c r="C220" s="79">
        <v>44</v>
      </c>
      <c r="D220" s="79">
        <v>47</v>
      </c>
      <c r="E220" s="79">
        <v>45</v>
      </c>
      <c r="F220" s="79">
        <v>45</v>
      </c>
      <c r="G220" s="79">
        <v>44</v>
      </c>
      <c r="H220" s="79">
        <v>42</v>
      </c>
      <c r="I220" s="79">
        <v>36</v>
      </c>
      <c r="J220" s="79">
        <v>37</v>
      </c>
      <c r="K220" s="79">
        <v>43</v>
      </c>
      <c r="L220" s="79">
        <v>47</v>
      </c>
      <c r="M220" s="79">
        <v>46</v>
      </c>
      <c r="N220" s="79">
        <v>48</v>
      </c>
      <c r="O220" s="77" t="s">
        <v>277</v>
      </c>
      <c r="P220" s="80">
        <f t="shared" si="9"/>
        <v>524</v>
      </c>
      <c r="Q220" s="80">
        <f t="shared" si="10"/>
        <v>87.333333333333329</v>
      </c>
      <c r="R220" s="80">
        <f t="shared" si="11"/>
        <v>17.466666666666665</v>
      </c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</row>
    <row r="221" spans="1:33" x14ac:dyDescent="0.25">
      <c r="A221" s="77">
        <v>37</v>
      </c>
      <c r="B221" s="78" t="s">
        <v>222</v>
      </c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7" t="s">
        <v>277</v>
      </c>
      <c r="P221" s="80">
        <f t="shared" si="9"/>
        <v>0</v>
      </c>
      <c r="Q221" s="80">
        <f t="shared" si="10"/>
        <v>0</v>
      </c>
      <c r="R221" s="80">
        <f t="shared" si="11"/>
        <v>0</v>
      </c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1:33" x14ac:dyDescent="0.25">
      <c r="A222" s="77">
        <v>38</v>
      </c>
      <c r="B222" s="78" t="s">
        <v>223</v>
      </c>
      <c r="C222" s="79">
        <v>16</v>
      </c>
      <c r="D222" s="79">
        <v>40</v>
      </c>
      <c r="E222" s="79">
        <v>28</v>
      </c>
      <c r="F222" s="79">
        <v>26</v>
      </c>
      <c r="G222" s="79">
        <v>22</v>
      </c>
      <c r="H222" s="79">
        <v>23</v>
      </c>
      <c r="I222" s="79">
        <v>17</v>
      </c>
      <c r="J222" s="79">
        <v>19</v>
      </c>
      <c r="K222" s="79">
        <v>28</v>
      </c>
      <c r="L222" s="79">
        <v>32</v>
      </c>
      <c r="M222" s="79">
        <v>42</v>
      </c>
      <c r="N222" s="79">
        <v>43</v>
      </c>
      <c r="O222" s="77" t="s">
        <v>277</v>
      </c>
      <c r="P222" s="80">
        <f t="shared" si="9"/>
        <v>336</v>
      </c>
      <c r="Q222" s="80">
        <f t="shared" si="10"/>
        <v>56.000000000000007</v>
      </c>
      <c r="R222" s="80">
        <f t="shared" si="11"/>
        <v>11.200000000000003</v>
      </c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</row>
    <row r="223" spans="1:33" x14ac:dyDescent="0.25">
      <c r="A223" s="77">
        <v>39</v>
      </c>
      <c r="B223" s="78" t="s">
        <v>224</v>
      </c>
      <c r="C223" s="79">
        <v>29</v>
      </c>
      <c r="D223" s="79">
        <v>38</v>
      </c>
      <c r="E223" s="79">
        <v>26</v>
      </c>
      <c r="F223" s="79">
        <v>32</v>
      </c>
      <c r="G223" s="79">
        <v>19</v>
      </c>
      <c r="H223" s="79">
        <v>16</v>
      </c>
      <c r="I223" s="79">
        <v>28</v>
      </c>
      <c r="J223" s="79">
        <v>23</v>
      </c>
      <c r="K223" s="79">
        <v>35</v>
      </c>
      <c r="L223" s="79">
        <v>29</v>
      </c>
      <c r="M223" s="79">
        <v>36</v>
      </c>
      <c r="N223" s="79">
        <v>33</v>
      </c>
      <c r="O223" s="77" t="s">
        <v>277</v>
      </c>
      <c r="P223" s="80">
        <f t="shared" si="9"/>
        <v>344</v>
      </c>
      <c r="Q223" s="80">
        <f t="shared" si="10"/>
        <v>57.333333333333336</v>
      </c>
      <c r="R223" s="80">
        <f t="shared" si="11"/>
        <v>11.466666666666669</v>
      </c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</row>
    <row r="224" spans="1:33" x14ac:dyDescent="0.25">
      <c r="A224" s="77">
        <v>40</v>
      </c>
      <c r="B224" s="78" t="s">
        <v>225</v>
      </c>
      <c r="C224" s="79">
        <v>45</v>
      </c>
      <c r="D224" s="79">
        <v>49</v>
      </c>
      <c r="E224" s="79">
        <v>44</v>
      </c>
      <c r="F224" s="79">
        <v>49</v>
      </c>
      <c r="G224" s="79">
        <v>45</v>
      </c>
      <c r="H224" s="79">
        <v>46</v>
      </c>
      <c r="I224" s="79">
        <v>49</v>
      </c>
      <c r="J224" s="79">
        <v>44</v>
      </c>
      <c r="K224" s="79">
        <v>50</v>
      </c>
      <c r="L224" s="79">
        <v>48</v>
      </c>
      <c r="M224" s="79">
        <v>47</v>
      </c>
      <c r="N224" s="79">
        <v>50</v>
      </c>
      <c r="O224" s="77" t="s">
        <v>277</v>
      </c>
      <c r="P224" s="80">
        <f t="shared" si="9"/>
        <v>566</v>
      </c>
      <c r="Q224" s="80">
        <f t="shared" si="10"/>
        <v>94.333333333333343</v>
      </c>
      <c r="R224" s="80">
        <f t="shared" si="11"/>
        <v>18.866666666666671</v>
      </c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</row>
    <row r="225" spans="1:33" x14ac:dyDescent="0.25">
      <c r="A225" s="77">
        <v>41</v>
      </c>
      <c r="B225" s="78" t="s">
        <v>226</v>
      </c>
      <c r="C225" s="79">
        <v>37</v>
      </c>
      <c r="D225" s="79">
        <v>43</v>
      </c>
      <c r="E225" s="79">
        <v>32</v>
      </c>
      <c r="F225" s="79">
        <v>33</v>
      </c>
      <c r="G225" s="79">
        <v>31</v>
      </c>
      <c r="H225" s="79">
        <v>31</v>
      </c>
      <c r="I225" s="79">
        <v>35</v>
      </c>
      <c r="J225" s="79">
        <v>37</v>
      </c>
      <c r="K225" s="79">
        <v>47</v>
      </c>
      <c r="L225" s="79">
        <v>42</v>
      </c>
      <c r="M225" s="79">
        <v>49</v>
      </c>
      <c r="N225" s="79">
        <v>44</v>
      </c>
      <c r="O225" s="77" t="s">
        <v>277</v>
      </c>
      <c r="P225" s="80">
        <f t="shared" si="9"/>
        <v>461</v>
      </c>
      <c r="Q225" s="80">
        <f t="shared" si="10"/>
        <v>76.833333333333329</v>
      </c>
      <c r="R225" s="80">
        <f t="shared" si="11"/>
        <v>15.366666666666667</v>
      </c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</row>
    <row r="226" spans="1:33" x14ac:dyDescent="0.25">
      <c r="A226" s="77">
        <v>42</v>
      </c>
      <c r="B226" s="78" t="s">
        <v>227</v>
      </c>
      <c r="C226" s="79">
        <v>27</v>
      </c>
      <c r="D226" s="79">
        <v>40</v>
      </c>
      <c r="E226" s="79">
        <v>37</v>
      </c>
      <c r="F226" s="79">
        <v>31</v>
      </c>
      <c r="G226" s="79">
        <v>24</v>
      </c>
      <c r="H226" s="79">
        <v>32</v>
      </c>
      <c r="I226" s="79">
        <v>23</v>
      </c>
      <c r="J226" s="79">
        <v>25</v>
      </c>
      <c r="K226" s="79">
        <v>31</v>
      </c>
      <c r="L226" s="79">
        <v>31</v>
      </c>
      <c r="M226" s="79">
        <v>34</v>
      </c>
      <c r="N226" s="79">
        <v>39</v>
      </c>
      <c r="O226" s="77" t="s">
        <v>277</v>
      </c>
      <c r="P226" s="80">
        <f t="shared" si="9"/>
        <v>374</v>
      </c>
      <c r="Q226" s="80">
        <f t="shared" si="10"/>
        <v>62.333333333333329</v>
      </c>
      <c r="R226" s="80">
        <f t="shared" si="11"/>
        <v>12.466666666666667</v>
      </c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</row>
    <row r="227" spans="1:33" x14ac:dyDescent="0.25">
      <c r="A227" s="77">
        <v>43</v>
      </c>
      <c r="B227" s="78" t="s">
        <v>228</v>
      </c>
      <c r="C227" s="79">
        <v>39</v>
      </c>
      <c r="D227" s="79">
        <v>46</v>
      </c>
      <c r="E227" s="79">
        <v>41</v>
      </c>
      <c r="F227" s="79">
        <v>32</v>
      </c>
      <c r="G227" s="79">
        <v>41</v>
      </c>
      <c r="H227" s="79">
        <v>34</v>
      </c>
      <c r="I227" s="79">
        <v>29</v>
      </c>
      <c r="J227" s="79">
        <v>23</v>
      </c>
      <c r="K227" s="79">
        <v>43</v>
      </c>
      <c r="L227" s="79">
        <v>40</v>
      </c>
      <c r="M227" s="79">
        <v>30</v>
      </c>
      <c r="N227" s="79">
        <v>41</v>
      </c>
      <c r="O227" s="77" t="s">
        <v>277</v>
      </c>
      <c r="P227" s="80">
        <f t="shared" si="9"/>
        <v>439</v>
      </c>
      <c r="Q227" s="80">
        <f t="shared" si="10"/>
        <v>73.166666666666671</v>
      </c>
      <c r="R227" s="80">
        <f t="shared" si="11"/>
        <v>14.633333333333335</v>
      </c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</row>
    <row r="228" spans="1:33" x14ac:dyDescent="0.25">
      <c r="A228" s="77">
        <v>44</v>
      </c>
      <c r="B228" s="78" t="s">
        <v>229</v>
      </c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7" t="s">
        <v>277</v>
      </c>
      <c r="P228" s="80">
        <f t="shared" si="9"/>
        <v>0</v>
      </c>
      <c r="Q228" s="80">
        <f t="shared" si="10"/>
        <v>0</v>
      </c>
      <c r="R228" s="80">
        <f t="shared" si="11"/>
        <v>0</v>
      </c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</row>
    <row r="229" spans="1:33" x14ac:dyDescent="0.25">
      <c r="A229" s="77"/>
      <c r="B229" s="78" t="s">
        <v>230</v>
      </c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7" t="s">
        <v>278</v>
      </c>
      <c r="P229" s="80">
        <f t="shared" si="9"/>
        <v>0</v>
      </c>
      <c r="Q229" s="80">
        <f t="shared" si="10"/>
        <v>0</v>
      </c>
      <c r="R229" s="80">
        <f t="shared" si="11"/>
        <v>0</v>
      </c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</row>
    <row r="230" spans="1:33" x14ac:dyDescent="0.25">
      <c r="A230" s="77"/>
      <c r="B230" s="78" t="s">
        <v>231</v>
      </c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7" t="s">
        <v>278</v>
      </c>
      <c r="P230" s="80">
        <f t="shared" si="9"/>
        <v>0</v>
      </c>
      <c r="Q230" s="80">
        <f t="shared" si="10"/>
        <v>0</v>
      </c>
      <c r="R230" s="80">
        <f t="shared" si="11"/>
        <v>0</v>
      </c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</row>
    <row r="231" spans="1:33" x14ac:dyDescent="0.25">
      <c r="A231" s="77"/>
      <c r="B231" s="78" t="s">
        <v>232</v>
      </c>
      <c r="C231" s="79">
        <v>22</v>
      </c>
      <c r="D231" s="79">
        <v>38</v>
      </c>
      <c r="E231" s="79">
        <v>22</v>
      </c>
      <c r="F231" s="79">
        <v>29</v>
      </c>
      <c r="G231" s="79">
        <v>25</v>
      </c>
      <c r="H231" s="79">
        <v>24</v>
      </c>
      <c r="I231" s="79"/>
      <c r="J231" s="79"/>
      <c r="K231" s="79"/>
      <c r="L231" s="79"/>
      <c r="M231" s="79"/>
      <c r="N231" s="79"/>
      <c r="O231" s="77" t="s">
        <v>279</v>
      </c>
      <c r="P231" s="80">
        <f t="shared" si="9"/>
        <v>160</v>
      </c>
      <c r="Q231" s="80">
        <f t="shared" si="10"/>
        <v>26.666666666666668</v>
      </c>
      <c r="R231" s="80">
        <f t="shared" si="11"/>
        <v>5.3333333333333339</v>
      </c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</row>
    <row r="232" spans="1:33" x14ac:dyDescent="0.25">
      <c r="A232" s="77"/>
      <c r="B232" s="78" t="s">
        <v>233</v>
      </c>
      <c r="C232" s="79">
        <v>18</v>
      </c>
      <c r="D232" s="79">
        <v>33</v>
      </c>
      <c r="E232" s="79">
        <v>20</v>
      </c>
      <c r="F232" s="79">
        <v>22</v>
      </c>
      <c r="G232" s="79">
        <v>19</v>
      </c>
      <c r="H232" s="79">
        <v>19</v>
      </c>
      <c r="I232" s="79"/>
      <c r="J232" s="79"/>
      <c r="K232" s="79"/>
      <c r="L232" s="79"/>
      <c r="M232" s="79"/>
      <c r="N232" s="79"/>
      <c r="O232" s="77" t="s">
        <v>280</v>
      </c>
      <c r="P232" s="80">
        <f t="shared" si="9"/>
        <v>131</v>
      </c>
      <c r="Q232" s="80">
        <f t="shared" si="10"/>
        <v>21.833333333333332</v>
      </c>
      <c r="R232" s="80">
        <f t="shared" si="11"/>
        <v>4.3666666666666663</v>
      </c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1:33" x14ac:dyDescent="0.25">
      <c r="A233" s="77"/>
      <c r="B233" s="78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7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</row>
    <row r="234" spans="1:33" x14ac:dyDescent="0.25">
      <c r="A234" s="77"/>
      <c r="B234" s="78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7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</row>
    <row r="235" spans="1:33" x14ac:dyDescent="0.25">
      <c r="A235" s="77"/>
      <c r="B235" s="78"/>
      <c r="C235" s="79">
        <f t="shared" ref="C235:N235" si="12">COUNT(C136:C176)</f>
        <v>38</v>
      </c>
      <c r="D235" s="79">
        <f t="shared" si="12"/>
        <v>38</v>
      </c>
      <c r="E235" s="79">
        <f t="shared" si="12"/>
        <v>38</v>
      </c>
      <c r="F235" s="79">
        <f t="shared" si="12"/>
        <v>36</v>
      </c>
      <c r="G235" s="79">
        <f t="shared" si="12"/>
        <v>36</v>
      </c>
      <c r="H235" s="79">
        <f t="shared" si="12"/>
        <v>33</v>
      </c>
      <c r="I235" s="79">
        <f t="shared" si="12"/>
        <v>36</v>
      </c>
      <c r="J235" s="79">
        <f t="shared" si="12"/>
        <v>35</v>
      </c>
      <c r="K235" s="79">
        <f t="shared" si="12"/>
        <v>34</v>
      </c>
      <c r="L235" s="79">
        <f t="shared" si="12"/>
        <v>36</v>
      </c>
      <c r="M235" s="79">
        <f t="shared" si="12"/>
        <v>36</v>
      </c>
      <c r="N235" s="79">
        <f t="shared" si="12"/>
        <v>36</v>
      </c>
      <c r="O235" s="77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</row>
    <row r="236" spans="1:33" x14ac:dyDescent="0.25">
      <c r="A236" s="77"/>
      <c r="B236" s="78"/>
      <c r="C236" s="79"/>
      <c r="D236" s="79"/>
      <c r="E236" s="79"/>
      <c r="F236" s="79"/>
      <c r="G236" s="79"/>
      <c r="H236" s="79"/>
      <c r="I236" s="81"/>
      <c r="J236" s="81"/>
      <c r="K236" s="81"/>
      <c r="L236" s="81"/>
      <c r="M236" s="81"/>
      <c r="N236" s="81"/>
      <c r="O236" s="77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</row>
    <row r="237" spans="1:33" x14ac:dyDescent="0.25">
      <c r="A237" s="77"/>
      <c r="B237" s="78"/>
      <c r="C237" s="79"/>
      <c r="D237" s="79"/>
      <c r="E237" s="79"/>
      <c r="F237" s="79"/>
      <c r="G237" s="79"/>
      <c r="H237" s="79"/>
      <c r="I237" s="82"/>
      <c r="J237" s="82"/>
      <c r="K237" s="82"/>
      <c r="L237" s="82"/>
      <c r="M237" s="82"/>
      <c r="N237" s="82"/>
      <c r="O237" s="79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</row>
    <row r="238" spans="1:33" x14ac:dyDescent="0.25">
      <c r="A238" s="77"/>
      <c r="B238" s="78"/>
      <c r="C238" s="79">
        <f t="shared" ref="C238:N238" si="13">COUNT(C2:C62)</f>
        <v>20</v>
      </c>
      <c r="D238" s="79">
        <f t="shared" si="13"/>
        <v>18</v>
      </c>
      <c r="E238" s="79">
        <f t="shared" si="13"/>
        <v>20</v>
      </c>
      <c r="F238" s="79">
        <f t="shared" si="13"/>
        <v>16</v>
      </c>
      <c r="G238" s="79">
        <f t="shared" si="13"/>
        <v>16</v>
      </c>
      <c r="H238" s="79">
        <f t="shared" si="13"/>
        <v>15</v>
      </c>
      <c r="I238" s="79">
        <f t="shared" si="13"/>
        <v>25</v>
      </c>
      <c r="J238" s="79">
        <f t="shared" si="13"/>
        <v>27</v>
      </c>
      <c r="K238" s="79">
        <f t="shared" si="13"/>
        <v>26</v>
      </c>
      <c r="L238" s="79">
        <f t="shared" si="13"/>
        <v>25</v>
      </c>
      <c r="M238" s="79">
        <f t="shared" si="13"/>
        <v>23</v>
      </c>
      <c r="N238" s="79">
        <f t="shared" si="13"/>
        <v>24</v>
      </c>
      <c r="O238" s="79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</row>
    <row r="239" spans="1:33" x14ac:dyDescent="0.25">
      <c r="A239" s="77"/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7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</row>
    <row r="240" spans="1:33" x14ac:dyDescent="0.25">
      <c r="A240" s="77"/>
      <c r="B240" s="78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7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</row>
    <row r="241" spans="1:33" x14ac:dyDescent="0.25">
      <c r="A241" s="77"/>
      <c r="B241" s="78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77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</row>
    <row r="242" spans="1:33" x14ac:dyDescent="0.25">
      <c r="A242" s="77"/>
      <c r="B242" s="78"/>
      <c r="C242" s="82">
        <f t="shared" ref="C242:N242" si="14">AVERAGE(C2:C62)/50</f>
        <v>0.59299999999999997</v>
      </c>
      <c r="D242" s="82">
        <f t="shared" si="14"/>
        <v>0.76111111111111118</v>
      </c>
      <c r="E242" s="82">
        <f t="shared" si="14"/>
        <v>0.47100000000000003</v>
      </c>
      <c r="F242" s="82">
        <f t="shared" si="14"/>
        <v>0.4975</v>
      </c>
      <c r="G242" s="82">
        <f t="shared" si="14"/>
        <v>0.47249999999999998</v>
      </c>
      <c r="H242" s="82">
        <f t="shared" si="14"/>
        <v>0.49200000000000005</v>
      </c>
      <c r="I242" s="82">
        <f t="shared" si="14"/>
        <v>0.4536</v>
      </c>
      <c r="J242" s="82">
        <f t="shared" si="14"/>
        <v>0.42518518518518517</v>
      </c>
      <c r="K242" s="82">
        <f t="shared" si="14"/>
        <v>0.64538461538461533</v>
      </c>
      <c r="L242" s="82">
        <f t="shared" si="14"/>
        <v>0.59200000000000008</v>
      </c>
      <c r="M242" s="82">
        <f t="shared" si="14"/>
        <v>0.71652173913043482</v>
      </c>
      <c r="N242" s="82">
        <f t="shared" si="14"/>
        <v>0.75749999999999995</v>
      </c>
      <c r="O242" s="77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</row>
    <row r="243" spans="1:33" x14ac:dyDescent="0.25">
      <c r="A243" s="77"/>
      <c r="B243" s="78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7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</row>
    <row r="244" spans="1:33" x14ac:dyDescent="0.25">
      <c r="A244" s="77"/>
      <c r="B244" s="78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7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1:33" x14ac:dyDescent="0.25">
      <c r="A245" s="77"/>
      <c r="B245" s="78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7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1:33" x14ac:dyDescent="0.25">
      <c r="A246" s="77"/>
      <c r="B246" s="78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7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1:33" x14ac:dyDescent="0.25">
      <c r="A247" s="77"/>
      <c r="B247" s="78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7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1:33" x14ac:dyDescent="0.25">
      <c r="A248" s="77"/>
      <c r="B248" s="78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7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</row>
    <row r="249" spans="1:33" x14ac:dyDescent="0.25">
      <c r="A249" s="77"/>
      <c r="B249" s="78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7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</row>
    <row r="250" spans="1:33" x14ac:dyDescent="0.25">
      <c r="A250" s="77"/>
      <c r="B250" s="78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7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1:33" x14ac:dyDescent="0.25">
      <c r="A251" s="77"/>
      <c r="B251" s="78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7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</row>
    <row r="252" spans="1:33" x14ac:dyDescent="0.25">
      <c r="A252" s="77"/>
      <c r="B252" s="78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7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</row>
    <row r="253" spans="1:33" x14ac:dyDescent="0.25">
      <c r="A253" s="77"/>
      <c r="B253" s="78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7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</row>
    <row r="254" spans="1:33" x14ac:dyDescent="0.25">
      <c r="A254" s="77"/>
      <c r="B254" s="78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7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</row>
    <row r="255" spans="1:33" x14ac:dyDescent="0.25">
      <c r="A255" s="77"/>
      <c r="B255" s="78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7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1:33" x14ac:dyDescent="0.25">
      <c r="A256" s="77"/>
      <c r="B256" s="78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7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1:33" x14ac:dyDescent="0.25">
      <c r="A257" s="77"/>
      <c r="B257" s="78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7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</row>
    <row r="258" spans="1:33" x14ac:dyDescent="0.25">
      <c r="A258" s="77"/>
      <c r="B258" s="78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7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</row>
    <row r="259" spans="1:33" x14ac:dyDescent="0.25">
      <c r="A259" s="77"/>
      <c r="B259" s="78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7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</row>
    <row r="260" spans="1:33" x14ac:dyDescent="0.25">
      <c r="A260" s="77"/>
      <c r="B260" s="78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7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</row>
    <row r="261" spans="1:33" x14ac:dyDescent="0.25">
      <c r="A261" s="77"/>
      <c r="B261" s="78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7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</row>
    <row r="262" spans="1:33" x14ac:dyDescent="0.25">
      <c r="A262" s="77"/>
      <c r="B262" s="78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7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</row>
    <row r="263" spans="1:33" x14ac:dyDescent="0.25">
      <c r="A263" s="77"/>
      <c r="B263" s="78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7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</row>
    <row r="264" spans="1:33" x14ac:dyDescent="0.25">
      <c r="A264" s="77"/>
      <c r="B264" s="78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7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1:33" x14ac:dyDescent="0.25">
      <c r="A265" s="77"/>
      <c r="B265" s="78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7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1:33" x14ac:dyDescent="0.25">
      <c r="A266" s="77"/>
      <c r="B266" s="78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7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</row>
    <row r="267" spans="1:33" x14ac:dyDescent="0.25">
      <c r="A267" s="77"/>
      <c r="B267" s="78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7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</row>
    <row r="268" spans="1:33" x14ac:dyDescent="0.25">
      <c r="A268" s="77"/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7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</row>
    <row r="269" spans="1:33" x14ac:dyDescent="0.25">
      <c r="A269" s="77"/>
      <c r="B269" s="78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7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1:33" x14ac:dyDescent="0.25">
      <c r="A270" s="77"/>
      <c r="B270" s="78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7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</row>
    <row r="271" spans="1:33" x14ac:dyDescent="0.25">
      <c r="A271" s="77"/>
      <c r="B271" s="78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7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</row>
    <row r="272" spans="1:33" x14ac:dyDescent="0.25">
      <c r="A272" s="77"/>
      <c r="B272" s="78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7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</row>
    <row r="273" spans="1:33" x14ac:dyDescent="0.25">
      <c r="A273" s="77"/>
      <c r="B273" s="78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7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</row>
    <row r="274" spans="1:33" x14ac:dyDescent="0.25">
      <c r="A274" s="77"/>
      <c r="B274" s="78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7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1:33" x14ac:dyDescent="0.25">
      <c r="A275" s="77"/>
      <c r="B275" s="78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7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</row>
    <row r="276" spans="1:33" x14ac:dyDescent="0.25">
      <c r="A276" s="77"/>
      <c r="B276" s="78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7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1:33" x14ac:dyDescent="0.25">
      <c r="A277" s="77"/>
      <c r="B277" s="78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7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1:33" x14ac:dyDescent="0.25">
      <c r="A278" s="77"/>
      <c r="B278" s="78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7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1:33" x14ac:dyDescent="0.25">
      <c r="A279" s="77"/>
      <c r="B279" s="78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7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1:33" x14ac:dyDescent="0.25">
      <c r="A280" s="77"/>
      <c r="B280" s="78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7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1:33" x14ac:dyDescent="0.25">
      <c r="A281" s="77"/>
      <c r="B281" s="78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7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1:33" x14ac:dyDescent="0.25">
      <c r="A282" s="77"/>
      <c r="B282" s="78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7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1:33" x14ac:dyDescent="0.25">
      <c r="A283" s="77"/>
      <c r="B283" s="78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7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1:33" x14ac:dyDescent="0.25">
      <c r="A284" s="77"/>
      <c r="B284" s="78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7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1:33" x14ac:dyDescent="0.25">
      <c r="A285" s="77"/>
      <c r="B285" s="78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7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1:33" x14ac:dyDescent="0.25">
      <c r="A286" s="77"/>
      <c r="B286" s="78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7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1:33" x14ac:dyDescent="0.25">
      <c r="A287" s="77"/>
      <c r="B287" s="78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7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1:33" x14ac:dyDescent="0.25">
      <c r="A288" s="77"/>
      <c r="B288" s="78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7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1:33" x14ac:dyDescent="0.25">
      <c r="A289" s="77"/>
      <c r="B289" s="78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7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1:33" x14ac:dyDescent="0.25">
      <c r="A290" s="77"/>
      <c r="B290" s="78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7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1:33" x14ac:dyDescent="0.25">
      <c r="A291" s="77"/>
      <c r="B291" s="78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7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1:33" x14ac:dyDescent="0.25">
      <c r="A292" s="77"/>
      <c r="B292" s="78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7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1:33" x14ac:dyDescent="0.25">
      <c r="A293" s="77"/>
      <c r="B293" s="78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7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1:33" x14ac:dyDescent="0.25">
      <c r="A294" s="77"/>
      <c r="B294" s="78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7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1:33" x14ac:dyDescent="0.25">
      <c r="A295" s="77"/>
      <c r="B295" s="78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7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1:33" x14ac:dyDescent="0.25">
      <c r="A296" s="77"/>
      <c r="B296" s="78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7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1:33" x14ac:dyDescent="0.25">
      <c r="A297" s="77"/>
      <c r="B297" s="78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7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1:33" x14ac:dyDescent="0.25">
      <c r="A298" s="77"/>
      <c r="B298" s="78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7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1:33" x14ac:dyDescent="0.25">
      <c r="A299" s="77"/>
      <c r="B299" s="78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7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1:33" x14ac:dyDescent="0.25">
      <c r="A300" s="77"/>
      <c r="B300" s="78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7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1:33" x14ac:dyDescent="0.25">
      <c r="A301" s="77"/>
      <c r="B301" s="78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7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1:33" x14ac:dyDescent="0.25">
      <c r="A302" s="77"/>
      <c r="B302" s="78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7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1:33" x14ac:dyDescent="0.25">
      <c r="A303" s="77"/>
      <c r="B303" s="78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7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1:33" x14ac:dyDescent="0.25">
      <c r="A304" s="77"/>
      <c r="B304" s="78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7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1:33" x14ac:dyDescent="0.25">
      <c r="A305" s="77"/>
      <c r="B305" s="78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7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1:33" x14ac:dyDescent="0.25">
      <c r="A306" s="77"/>
      <c r="B306" s="78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7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1:33" x14ac:dyDescent="0.25">
      <c r="A307" s="77"/>
      <c r="B307" s="78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7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1:33" x14ac:dyDescent="0.25">
      <c r="A308" s="77"/>
      <c r="B308" s="78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7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1:33" x14ac:dyDescent="0.25">
      <c r="A309" s="77"/>
      <c r="B309" s="78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7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1:33" x14ac:dyDescent="0.25">
      <c r="A310" s="77"/>
      <c r="B310" s="78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7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1:33" x14ac:dyDescent="0.25">
      <c r="A311" s="77"/>
      <c r="B311" s="78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7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1:33" x14ac:dyDescent="0.25">
      <c r="A312" s="77"/>
      <c r="B312" s="78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7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1:33" x14ac:dyDescent="0.25">
      <c r="A313" s="77"/>
      <c r="B313" s="78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7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1:33" x14ac:dyDescent="0.25">
      <c r="A314" s="77"/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7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1:33" x14ac:dyDescent="0.25">
      <c r="A315" s="77"/>
      <c r="B315" s="78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7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1:33" x14ac:dyDescent="0.25">
      <c r="A316" s="77"/>
      <c r="B316" s="78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7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1:33" x14ac:dyDescent="0.25">
      <c r="A317" s="77"/>
      <c r="B317" s="78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7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1:33" x14ac:dyDescent="0.25">
      <c r="A318" s="77"/>
      <c r="B318" s="78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7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1:33" x14ac:dyDescent="0.25">
      <c r="A319" s="77"/>
      <c r="B319" s="78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7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1:33" x14ac:dyDescent="0.25">
      <c r="A320" s="77"/>
      <c r="B320" s="78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7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1:33" x14ac:dyDescent="0.25">
      <c r="A321" s="77"/>
      <c r="B321" s="78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7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1:33" x14ac:dyDescent="0.25">
      <c r="A322" s="77"/>
      <c r="B322" s="78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7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1:33" x14ac:dyDescent="0.25">
      <c r="A323" s="77"/>
      <c r="B323" s="78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7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1:33" x14ac:dyDescent="0.25">
      <c r="A324" s="77"/>
      <c r="B324" s="78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7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1:33" x14ac:dyDescent="0.25">
      <c r="A325" s="77"/>
      <c r="B325" s="78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7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1:33" x14ac:dyDescent="0.25">
      <c r="A326" s="77"/>
      <c r="B326" s="78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7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1:33" x14ac:dyDescent="0.25">
      <c r="A327" s="77"/>
      <c r="B327" s="78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7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1:33" x14ac:dyDescent="0.25">
      <c r="A328" s="77"/>
      <c r="B328" s="78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7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1:33" x14ac:dyDescent="0.25">
      <c r="A329" s="77"/>
      <c r="B329" s="78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7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1:33" x14ac:dyDescent="0.25">
      <c r="A330" s="77"/>
      <c r="B330" s="78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7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1:33" x14ac:dyDescent="0.25">
      <c r="A331" s="77"/>
      <c r="B331" s="78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7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1:33" x14ac:dyDescent="0.25">
      <c r="A332" s="77"/>
      <c r="B332" s="78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7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1:33" x14ac:dyDescent="0.25">
      <c r="A333" s="77"/>
      <c r="B333" s="78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7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1:33" x14ac:dyDescent="0.25">
      <c r="A334" s="77"/>
      <c r="B334" s="78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7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</row>
    <row r="335" spans="1:33" x14ac:dyDescent="0.25">
      <c r="A335" s="77"/>
      <c r="B335" s="78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7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</row>
    <row r="336" spans="1:33" x14ac:dyDescent="0.25">
      <c r="A336" s="77"/>
      <c r="B336" s="78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7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</row>
    <row r="337" spans="1:33" x14ac:dyDescent="0.25">
      <c r="A337" s="77"/>
      <c r="B337" s="78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7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</row>
    <row r="338" spans="1:33" x14ac:dyDescent="0.25">
      <c r="A338" s="77"/>
      <c r="B338" s="78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7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</row>
    <row r="339" spans="1:33" x14ac:dyDescent="0.25">
      <c r="A339" s="77"/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7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</row>
    <row r="340" spans="1:33" x14ac:dyDescent="0.25">
      <c r="A340" s="77"/>
      <c r="B340" s="78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7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</row>
    <row r="341" spans="1:33" x14ac:dyDescent="0.25">
      <c r="A341" s="77"/>
      <c r="B341" s="78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7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</row>
    <row r="342" spans="1:33" x14ac:dyDescent="0.25">
      <c r="A342" s="77"/>
      <c r="B342" s="78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7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</row>
    <row r="343" spans="1:33" x14ac:dyDescent="0.25">
      <c r="A343" s="77"/>
      <c r="B343" s="78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7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</row>
    <row r="344" spans="1:33" x14ac:dyDescent="0.25">
      <c r="A344" s="77"/>
      <c r="B344" s="78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7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</row>
    <row r="345" spans="1:33" x14ac:dyDescent="0.25">
      <c r="A345" s="77"/>
      <c r="B345" s="78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7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</row>
    <row r="346" spans="1:33" x14ac:dyDescent="0.25">
      <c r="A346" s="77"/>
      <c r="B346" s="78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7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</row>
    <row r="347" spans="1:33" x14ac:dyDescent="0.25">
      <c r="A347" s="77"/>
      <c r="B347" s="78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7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</row>
    <row r="348" spans="1:33" x14ac:dyDescent="0.25">
      <c r="A348" s="77"/>
      <c r="B348" s="78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7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</row>
    <row r="349" spans="1:33" x14ac:dyDescent="0.25">
      <c r="A349" s="77"/>
      <c r="B349" s="78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7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</row>
    <row r="350" spans="1:33" x14ac:dyDescent="0.25">
      <c r="A350" s="77"/>
      <c r="B350" s="78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7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</row>
    <row r="351" spans="1:33" x14ac:dyDescent="0.25">
      <c r="A351" s="77"/>
      <c r="B351" s="78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7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</row>
    <row r="352" spans="1:33" x14ac:dyDescent="0.25">
      <c r="A352" s="77"/>
      <c r="B352" s="78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7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</row>
    <row r="353" spans="1:33" x14ac:dyDescent="0.25">
      <c r="A353" s="77"/>
      <c r="B353" s="78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7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</row>
    <row r="354" spans="1:33" x14ac:dyDescent="0.25">
      <c r="A354" s="77"/>
      <c r="B354" s="78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7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</row>
    <row r="355" spans="1:33" x14ac:dyDescent="0.25">
      <c r="A355" s="77"/>
      <c r="B355" s="78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7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</row>
    <row r="356" spans="1:33" x14ac:dyDescent="0.25">
      <c r="A356" s="77"/>
      <c r="B356" s="78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7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</row>
    <row r="357" spans="1:33" x14ac:dyDescent="0.25">
      <c r="A357" s="77"/>
      <c r="B357" s="78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7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</row>
    <row r="358" spans="1:33" x14ac:dyDescent="0.25">
      <c r="A358" s="77"/>
      <c r="B358" s="78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7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</row>
    <row r="359" spans="1:33" x14ac:dyDescent="0.25">
      <c r="A359" s="77"/>
      <c r="B359" s="78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7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</row>
    <row r="360" spans="1:33" x14ac:dyDescent="0.25">
      <c r="A360" s="77"/>
      <c r="B360" s="78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7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</row>
    <row r="361" spans="1:33" x14ac:dyDescent="0.25">
      <c r="A361" s="77"/>
      <c r="B361" s="78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7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</row>
    <row r="362" spans="1:33" x14ac:dyDescent="0.25">
      <c r="A362" s="77"/>
      <c r="B362" s="78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7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</row>
    <row r="363" spans="1:33" x14ac:dyDescent="0.25">
      <c r="A363" s="77"/>
      <c r="B363" s="78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7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</row>
    <row r="364" spans="1:33" x14ac:dyDescent="0.25">
      <c r="A364" s="77"/>
      <c r="B364" s="78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7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</row>
    <row r="365" spans="1:33" x14ac:dyDescent="0.25">
      <c r="A365" s="77"/>
      <c r="B365" s="78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7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</row>
    <row r="366" spans="1:33" x14ac:dyDescent="0.25">
      <c r="A366" s="77"/>
      <c r="B366" s="78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7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</row>
    <row r="367" spans="1:33" x14ac:dyDescent="0.25">
      <c r="A367" s="77"/>
      <c r="B367" s="78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7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</row>
    <row r="368" spans="1:33" x14ac:dyDescent="0.25">
      <c r="A368" s="77"/>
      <c r="B368" s="78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7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</row>
    <row r="369" spans="1:33" x14ac:dyDescent="0.25">
      <c r="A369" s="77"/>
      <c r="B369" s="78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7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</row>
    <row r="370" spans="1:33" x14ac:dyDescent="0.25">
      <c r="A370" s="77"/>
      <c r="B370" s="78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7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</row>
    <row r="371" spans="1:33" x14ac:dyDescent="0.25">
      <c r="A371" s="77"/>
      <c r="B371" s="78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7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</row>
    <row r="372" spans="1:33" x14ac:dyDescent="0.25">
      <c r="A372" s="77"/>
      <c r="B372" s="78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7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</row>
    <row r="373" spans="1:33" x14ac:dyDescent="0.25">
      <c r="A373" s="77"/>
      <c r="B373" s="78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7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</row>
    <row r="374" spans="1:33" x14ac:dyDescent="0.25">
      <c r="A374" s="77"/>
      <c r="B374" s="78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7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</row>
    <row r="375" spans="1:33" x14ac:dyDescent="0.25">
      <c r="A375" s="77"/>
      <c r="B375" s="78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7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</row>
    <row r="376" spans="1:33" x14ac:dyDescent="0.25">
      <c r="A376" s="77"/>
      <c r="B376" s="78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7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</row>
    <row r="377" spans="1:33" x14ac:dyDescent="0.25">
      <c r="A377" s="77"/>
      <c r="B377" s="78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7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</row>
    <row r="378" spans="1:33" x14ac:dyDescent="0.25">
      <c r="A378" s="77"/>
      <c r="B378" s="78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7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</row>
    <row r="379" spans="1:33" x14ac:dyDescent="0.25">
      <c r="A379" s="77"/>
      <c r="B379" s="78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7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</row>
    <row r="380" spans="1:33" x14ac:dyDescent="0.25">
      <c r="A380" s="77"/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7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</row>
    <row r="381" spans="1:33" x14ac:dyDescent="0.25">
      <c r="A381" s="77"/>
      <c r="B381" s="78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7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</row>
    <row r="382" spans="1:33" x14ac:dyDescent="0.25">
      <c r="A382" s="77"/>
      <c r="B382" s="78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7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</row>
    <row r="383" spans="1:33" x14ac:dyDescent="0.25">
      <c r="A383" s="77"/>
      <c r="B383" s="78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7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</row>
    <row r="384" spans="1:33" x14ac:dyDescent="0.25">
      <c r="A384" s="77"/>
      <c r="B384" s="78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7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</row>
    <row r="385" spans="1:33" x14ac:dyDescent="0.25">
      <c r="A385" s="77"/>
      <c r="B385" s="78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7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</row>
    <row r="386" spans="1:33" x14ac:dyDescent="0.25">
      <c r="A386" s="77"/>
      <c r="B386" s="78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7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</row>
    <row r="387" spans="1:33" x14ac:dyDescent="0.25">
      <c r="A387" s="77"/>
      <c r="B387" s="78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7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</row>
    <row r="388" spans="1:33" x14ac:dyDescent="0.25">
      <c r="A388" s="77"/>
      <c r="B388" s="78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7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</row>
    <row r="389" spans="1:33" x14ac:dyDescent="0.25">
      <c r="A389" s="77"/>
      <c r="B389" s="78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7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</row>
    <row r="390" spans="1:33" x14ac:dyDescent="0.25">
      <c r="A390" s="77"/>
      <c r="B390" s="78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7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</row>
    <row r="391" spans="1:33" x14ac:dyDescent="0.25">
      <c r="A391" s="77"/>
      <c r="B391" s="78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7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</row>
    <row r="392" spans="1:33" x14ac:dyDescent="0.25">
      <c r="A392" s="77"/>
      <c r="B392" s="78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7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</row>
    <row r="393" spans="1:33" x14ac:dyDescent="0.25">
      <c r="A393" s="77"/>
      <c r="B393" s="78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7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</row>
    <row r="394" spans="1:33" x14ac:dyDescent="0.25">
      <c r="A394" s="77"/>
      <c r="B394" s="78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7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</row>
    <row r="395" spans="1:33" x14ac:dyDescent="0.25">
      <c r="A395" s="77"/>
      <c r="B395" s="78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7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</row>
    <row r="396" spans="1:33" x14ac:dyDescent="0.25">
      <c r="A396" s="77"/>
      <c r="B396" s="78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7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</row>
    <row r="397" spans="1:33" x14ac:dyDescent="0.25">
      <c r="A397" s="77"/>
      <c r="B397" s="78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7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</row>
    <row r="398" spans="1:33" x14ac:dyDescent="0.25">
      <c r="A398" s="77"/>
      <c r="B398" s="78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7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</row>
    <row r="399" spans="1:33" x14ac:dyDescent="0.25">
      <c r="A399" s="77"/>
      <c r="B399" s="78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7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</row>
    <row r="400" spans="1:33" x14ac:dyDescent="0.25">
      <c r="A400" s="77"/>
      <c r="B400" s="78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7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</row>
    <row r="401" spans="1:33" x14ac:dyDescent="0.25">
      <c r="A401" s="77"/>
      <c r="B401" s="78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7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</row>
    <row r="402" spans="1:33" x14ac:dyDescent="0.25">
      <c r="A402" s="77"/>
      <c r="B402" s="78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7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</row>
    <row r="403" spans="1:33" x14ac:dyDescent="0.25">
      <c r="A403" s="77"/>
      <c r="B403" s="78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7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</row>
    <row r="404" spans="1:33" x14ac:dyDescent="0.25">
      <c r="A404" s="77"/>
      <c r="B404" s="78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7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</row>
    <row r="405" spans="1:33" x14ac:dyDescent="0.25">
      <c r="A405" s="77"/>
      <c r="B405" s="78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7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</row>
    <row r="406" spans="1:33" x14ac:dyDescent="0.25">
      <c r="A406" s="77"/>
      <c r="B406" s="78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7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</row>
    <row r="407" spans="1:33" x14ac:dyDescent="0.25">
      <c r="A407" s="77"/>
      <c r="B407" s="78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7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</row>
    <row r="408" spans="1:33" x14ac:dyDescent="0.25">
      <c r="A408" s="77"/>
      <c r="B408" s="78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7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</row>
    <row r="409" spans="1:33" x14ac:dyDescent="0.25">
      <c r="A409" s="77"/>
      <c r="B409" s="78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7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</row>
    <row r="410" spans="1:33" x14ac:dyDescent="0.25">
      <c r="A410" s="77"/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7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</row>
    <row r="411" spans="1:33" x14ac:dyDescent="0.25">
      <c r="A411" s="77"/>
      <c r="B411" s="78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7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</row>
    <row r="412" spans="1:33" x14ac:dyDescent="0.25">
      <c r="A412" s="77"/>
      <c r="B412" s="78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7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</row>
    <row r="413" spans="1:33" x14ac:dyDescent="0.25">
      <c r="A413" s="77"/>
      <c r="B413" s="78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7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</row>
    <row r="414" spans="1:33" x14ac:dyDescent="0.25">
      <c r="A414" s="77"/>
      <c r="B414" s="78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7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</row>
    <row r="415" spans="1:33" x14ac:dyDescent="0.25">
      <c r="A415" s="77"/>
      <c r="B415" s="78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7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</row>
    <row r="416" spans="1:33" x14ac:dyDescent="0.25">
      <c r="A416" s="77"/>
      <c r="B416" s="78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7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</row>
    <row r="417" spans="1:33" x14ac:dyDescent="0.25">
      <c r="A417" s="77"/>
      <c r="B417" s="78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7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</row>
    <row r="418" spans="1:33" x14ac:dyDescent="0.25">
      <c r="A418" s="77"/>
      <c r="B418" s="78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7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</row>
    <row r="419" spans="1:33" x14ac:dyDescent="0.25">
      <c r="A419" s="77"/>
      <c r="B419" s="78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7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</row>
    <row r="420" spans="1:33" x14ac:dyDescent="0.25">
      <c r="A420" s="77"/>
      <c r="B420" s="78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7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</row>
    <row r="421" spans="1:33" x14ac:dyDescent="0.25">
      <c r="A421" s="77"/>
      <c r="B421" s="78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7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</row>
    <row r="422" spans="1:33" x14ac:dyDescent="0.25">
      <c r="A422" s="77"/>
      <c r="B422" s="78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7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</row>
    <row r="423" spans="1:33" x14ac:dyDescent="0.25">
      <c r="A423" s="77"/>
      <c r="B423" s="78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7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</row>
    <row r="424" spans="1:33" x14ac:dyDescent="0.25">
      <c r="A424" s="77"/>
      <c r="B424" s="78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7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</row>
    <row r="425" spans="1:33" x14ac:dyDescent="0.25">
      <c r="A425" s="77"/>
      <c r="B425" s="78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7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</row>
    <row r="426" spans="1:33" x14ac:dyDescent="0.25">
      <c r="A426" s="77"/>
      <c r="B426" s="78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7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</row>
    <row r="427" spans="1:33" x14ac:dyDescent="0.25">
      <c r="A427" s="77"/>
      <c r="B427" s="78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7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</row>
    <row r="428" spans="1:33" x14ac:dyDescent="0.25">
      <c r="A428" s="77"/>
      <c r="B428" s="78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7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</row>
    <row r="429" spans="1:33" x14ac:dyDescent="0.25">
      <c r="A429" s="77"/>
      <c r="B429" s="78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7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</row>
    <row r="430" spans="1:33" x14ac:dyDescent="0.25">
      <c r="A430" s="77"/>
      <c r="B430" s="78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7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</row>
    <row r="431" spans="1:33" x14ac:dyDescent="0.25">
      <c r="A431" s="77"/>
      <c r="B431" s="78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7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</row>
    <row r="432" spans="1:33" x14ac:dyDescent="0.25">
      <c r="A432" s="77"/>
      <c r="B432" s="78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7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</row>
    <row r="433" spans="1:33" x14ac:dyDescent="0.25">
      <c r="A433" s="77"/>
      <c r="B433" s="78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7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</row>
    <row r="434" spans="1:33" x14ac:dyDescent="0.25">
      <c r="A434" s="77"/>
      <c r="B434" s="78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7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</row>
    <row r="435" spans="1:33" x14ac:dyDescent="0.25">
      <c r="A435" s="77"/>
      <c r="B435" s="78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7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</row>
    <row r="436" spans="1:33" x14ac:dyDescent="0.25">
      <c r="A436" s="77"/>
      <c r="B436" s="78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7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</row>
    <row r="437" spans="1:33" x14ac:dyDescent="0.25">
      <c r="A437" s="77"/>
      <c r="B437" s="78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7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</row>
    <row r="438" spans="1:33" x14ac:dyDescent="0.25">
      <c r="A438" s="77"/>
      <c r="B438" s="78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7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</row>
    <row r="439" spans="1:33" x14ac:dyDescent="0.25">
      <c r="A439" s="77"/>
      <c r="B439" s="78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7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</row>
    <row r="440" spans="1:33" x14ac:dyDescent="0.25">
      <c r="A440" s="77"/>
      <c r="B440" s="78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7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</row>
    <row r="441" spans="1:33" x14ac:dyDescent="0.25">
      <c r="A441" s="77"/>
      <c r="B441" s="78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7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</row>
    <row r="442" spans="1:33" x14ac:dyDescent="0.25">
      <c r="A442" s="77"/>
      <c r="B442" s="78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7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</row>
    <row r="443" spans="1:33" x14ac:dyDescent="0.25">
      <c r="A443" s="77"/>
      <c r="B443" s="78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7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</row>
    <row r="444" spans="1:33" x14ac:dyDescent="0.25">
      <c r="A444" s="77"/>
      <c r="B444" s="78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7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</row>
    <row r="445" spans="1:33" x14ac:dyDescent="0.25">
      <c r="A445" s="77"/>
      <c r="B445" s="78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7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</row>
    <row r="446" spans="1:33" x14ac:dyDescent="0.25">
      <c r="A446" s="77"/>
      <c r="B446" s="78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7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</row>
    <row r="447" spans="1:33" x14ac:dyDescent="0.25">
      <c r="A447" s="77"/>
      <c r="B447" s="78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7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</row>
    <row r="448" spans="1:33" x14ac:dyDescent="0.25">
      <c r="A448" s="77"/>
      <c r="B448" s="78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7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</row>
    <row r="449" spans="1:33" x14ac:dyDescent="0.25">
      <c r="A449" s="77"/>
      <c r="B449" s="78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7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</row>
    <row r="450" spans="1:33" x14ac:dyDescent="0.25">
      <c r="A450" s="77"/>
      <c r="B450" s="78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7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</row>
    <row r="451" spans="1:33" x14ac:dyDescent="0.25">
      <c r="A451" s="77"/>
      <c r="B451" s="78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7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</row>
    <row r="452" spans="1:33" x14ac:dyDescent="0.25">
      <c r="A452" s="77"/>
      <c r="B452" s="78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7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</row>
    <row r="453" spans="1:33" x14ac:dyDescent="0.25">
      <c r="A453" s="77"/>
      <c r="B453" s="78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7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</row>
    <row r="454" spans="1:33" x14ac:dyDescent="0.25">
      <c r="A454" s="77"/>
      <c r="B454" s="78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7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</row>
    <row r="455" spans="1:33" x14ac:dyDescent="0.25">
      <c r="A455" s="77"/>
      <c r="B455" s="78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7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</row>
    <row r="456" spans="1:33" x14ac:dyDescent="0.25">
      <c r="A456" s="77"/>
      <c r="B456" s="78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7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</row>
    <row r="457" spans="1:33" x14ac:dyDescent="0.25">
      <c r="A457" s="77"/>
      <c r="B457" s="78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7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</row>
    <row r="458" spans="1:33" x14ac:dyDescent="0.25">
      <c r="A458" s="77"/>
      <c r="B458" s="78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7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</row>
    <row r="459" spans="1:33" x14ac:dyDescent="0.25">
      <c r="A459" s="77"/>
      <c r="B459" s="78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7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</row>
    <row r="460" spans="1:33" x14ac:dyDescent="0.25">
      <c r="A460" s="77"/>
      <c r="B460" s="78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7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</row>
    <row r="461" spans="1:33" x14ac:dyDescent="0.25">
      <c r="A461" s="77"/>
      <c r="B461" s="78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7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</row>
    <row r="462" spans="1:33" x14ac:dyDescent="0.25">
      <c r="A462" s="77"/>
      <c r="B462" s="78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7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</row>
    <row r="463" spans="1:33" x14ac:dyDescent="0.25">
      <c r="A463" s="77"/>
      <c r="B463" s="78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7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</row>
    <row r="464" spans="1:33" x14ac:dyDescent="0.25">
      <c r="A464" s="77"/>
      <c r="B464" s="78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7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</row>
    <row r="465" spans="1:33" x14ac:dyDescent="0.25">
      <c r="A465" s="77"/>
      <c r="B465" s="78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7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</row>
    <row r="466" spans="1:33" x14ac:dyDescent="0.25">
      <c r="A466" s="77"/>
      <c r="B466" s="78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7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</row>
    <row r="467" spans="1:33" x14ac:dyDescent="0.25">
      <c r="A467" s="77"/>
      <c r="B467" s="78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7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</row>
    <row r="468" spans="1:33" x14ac:dyDescent="0.25">
      <c r="A468" s="77"/>
      <c r="B468" s="78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7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</row>
    <row r="469" spans="1:33" x14ac:dyDescent="0.25">
      <c r="A469" s="77"/>
      <c r="B469" s="78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7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</row>
    <row r="470" spans="1:33" x14ac:dyDescent="0.25">
      <c r="A470" s="77"/>
      <c r="B470" s="78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7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</row>
    <row r="471" spans="1:33" x14ac:dyDescent="0.25">
      <c r="A471" s="77"/>
      <c r="B471" s="78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7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</row>
    <row r="472" spans="1:33" x14ac:dyDescent="0.25">
      <c r="A472" s="77"/>
      <c r="B472" s="78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7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</row>
    <row r="473" spans="1:33" x14ac:dyDescent="0.25">
      <c r="A473" s="77"/>
      <c r="B473" s="78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7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</row>
    <row r="474" spans="1:33" x14ac:dyDescent="0.25">
      <c r="A474" s="77"/>
      <c r="B474" s="78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7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</row>
    <row r="475" spans="1:33" x14ac:dyDescent="0.25">
      <c r="A475" s="77"/>
      <c r="B475" s="78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7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</row>
    <row r="476" spans="1:33" x14ac:dyDescent="0.25">
      <c r="A476" s="77"/>
      <c r="B476" s="78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7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</row>
    <row r="477" spans="1:33" x14ac:dyDescent="0.25">
      <c r="A477" s="77"/>
      <c r="B477" s="78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7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</row>
    <row r="478" spans="1:33" x14ac:dyDescent="0.25">
      <c r="A478" s="77"/>
      <c r="B478" s="78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7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</row>
    <row r="479" spans="1:33" x14ac:dyDescent="0.25">
      <c r="A479" s="77"/>
      <c r="B479" s="78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7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</row>
    <row r="480" spans="1:33" x14ac:dyDescent="0.25">
      <c r="A480" s="77"/>
      <c r="B480" s="78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7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</row>
    <row r="481" spans="1:33" x14ac:dyDescent="0.25">
      <c r="A481" s="77"/>
      <c r="B481" s="78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7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</row>
    <row r="482" spans="1:33" x14ac:dyDescent="0.25">
      <c r="A482" s="77"/>
      <c r="B482" s="78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7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</row>
    <row r="483" spans="1:33" x14ac:dyDescent="0.25">
      <c r="A483" s="77"/>
      <c r="B483" s="78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7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</row>
    <row r="484" spans="1:33" x14ac:dyDescent="0.25">
      <c r="A484" s="77"/>
      <c r="B484" s="78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7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</row>
    <row r="485" spans="1:33" x14ac:dyDescent="0.25">
      <c r="A485" s="77"/>
      <c r="B485" s="78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7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</row>
    <row r="486" spans="1:33" x14ac:dyDescent="0.25">
      <c r="A486" s="77"/>
      <c r="B486" s="78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7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</row>
    <row r="487" spans="1:33" x14ac:dyDescent="0.25">
      <c r="A487" s="77"/>
      <c r="B487" s="78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7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</row>
    <row r="488" spans="1:33" x14ac:dyDescent="0.25">
      <c r="A488" s="77"/>
      <c r="B488" s="78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7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</row>
    <row r="489" spans="1:33" x14ac:dyDescent="0.25">
      <c r="A489" s="77"/>
      <c r="B489" s="78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7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</row>
    <row r="490" spans="1:33" x14ac:dyDescent="0.25">
      <c r="A490" s="77"/>
      <c r="B490" s="78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7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</row>
    <row r="491" spans="1:33" x14ac:dyDescent="0.25">
      <c r="A491" s="77"/>
      <c r="B491" s="78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7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</row>
    <row r="492" spans="1:33" x14ac:dyDescent="0.25">
      <c r="A492" s="77"/>
      <c r="B492" s="78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7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</row>
    <row r="493" spans="1:33" x14ac:dyDescent="0.25">
      <c r="A493" s="77"/>
      <c r="B493" s="78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7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</row>
    <row r="494" spans="1:33" x14ac:dyDescent="0.25">
      <c r="A494" s="77"/>
      <c r="B494" s="78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7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</row>
    <row r="495" spans="1:33" x14ac:dyDescent="0.25">
      <c r="A495" s="77"/>
      <c r="B495" s="78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7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</row>
    <row r="496" spans="1:33" x14ac:dyDescent="0.25">
      <c r="A496" s="77"/>
      <c r="B496" s="78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7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</row>
    <row r="497" spans="1:33" x14ac:dyDescent="0.25">
      <c r="A497" s="77"/>
      <c r="B497" s="78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7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</row>
    <row r="498" spans="1:33" x14ac:dyDescent="0.25">
      <c r="A498" s="77"/>
      <c r="B498" s="78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7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</row>
    <row r="499" spans="1:33" x14ac:dyDescent="0.25">
      <c r="A499" s="77"/>
      <c r="B499" s="78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7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</row>
    <row r="500" spans="1:33" x14ac:dyDescent="0.25">
      <c r="A500" s="77"/>
      <c r="B500" s="78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7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</row>
    <row r="501" spans="1:33" x14ac:dyDescent="0.25">
      <c r="A501" s="77"/>
      <c r="B501" s="78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7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</row>
    <row r="502" spans="1:33" x14ac:dyDescent="0.25">
      <c r="A502" s="77"/>
      <c r="B502" s="78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7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</row>
    <row r="503" spans="1:33" x14ac:dyDescent="0.25">
      <c r="A503" s="77"/>
      <c r="B503" s="78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7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</row>
    <row r="504" spans="1:33" x14ac:dyDescent="0.25">
      <c r="A504" s="77"/>
      <c r="B504" s="78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7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</row>
    <row r="505" spans="1:33" x14ac:dyDescent="0.25">
      <c r="A505" s="77"/>
      <c r="B505" s="78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7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</row>
    <row r="506" spans="1:33" x14ac:dyDescent="0.25">
      <c r="A506" s="77"/>
      <c r="B506" s="78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7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</row>
    <row r="507" spans="1:33" x14ac:dyDescent="0.25">
      <c r="A507" s="77"/>
      <c r="B507" s="78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7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</row>
    <row r="508" spans="1:33" x14ac:dyDescent="0.25">
      <c r="A508" s="77"/>
      <c r="B508" s="78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7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</row>
    <row r="509" spans="1:33" x14ac:dyDescent="0.25">
      <c r="A509" s="77"/>
      <c r="B509" s="78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7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</row>
    <row r="510" spans="1:33" x14ac:dyDescent="0.25">
      <c r="A510" s="77"/>
      <c r="B510" s="78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7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</row>
    <row r="511" spans="1:33" x14ac:dyDescent="0.25">
      <c r="A511" s="77"/>
      <c r="B511" s="78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7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1:33" x14ac:dyDescent="0.25">
      <c r="A512" s="77"/>
      <c r="B512" s="78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7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</row>
    <row r="513" spans="1:33" x14ac:dyDescent="0.25">
      <c r="A513" s="77"/>
      <c r="B513" s="78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7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</row>
    <row r="514" spans="1:33" x14ac:dyDescent="0.25">
      <c r="A514" s="77"/>
      <c r="B514" s="78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7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</row>
    <row r="515" spans="1:33" x14ac:dyDescent="0.25">
      <c r="A515" s="77"/>
      <c r="B515" s="78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7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</row>
    <row r="516" spans="1:33" x14ac:dyDescent="0.25">
      <c r="A516" s="77"/>
      <c r="B516" s="78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7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</row>
    <row r="517" spans="1:33" x14ac:dyDescent="0.25">
      <c r="A517" s="77"/>
      <c r="B517" s="78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7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</row>
    <row r="518" spans="1:33" x14ac:dyDescent="0.25">
      <c r="A518" s="77"/>
      <c r="B518" s="78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7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</row>
    <row r="519" spans="1:33" x14ac:dyDescent="0.25">
      <c r="A519" s="77"/>
      <c r="B519" s="78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7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</row>
    <row r="520" spans="1:33" x14ac:dyDescent="0.25">
      <c r="A520" s="77"/>
      <c r="B520" s="78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7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</row>
    <row r="521" spans="1:33" x14ac:dyDescent="0.25">
      <c r="A521" s="77"/>
      <c r="B521" s="78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7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</row>
    <row r="522" spans="1:33" x14ac:dyDescent="0.25">
      <c r="A522" s="77"/>
      <c r="B522" s="78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7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</row>
    <row r="523" spans="1:33" x14ac:dyDescent="0.25">
      <c r="A523" s="77"/>
      <c r="B523" s="78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7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</row>
    <row r="524" spans="1:33" x14ac:dyDescent="0.25">
      <c r="A524" s="77"/>
      <c r="B524" s="78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7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</row>
    <row r="525" spans="1:33" x14ac:dyDescent="0.25">
      <c r="A525" s="77"/>
      <c r="B525" s="78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7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</row>
    <row r="526" spans="1:33" x14ac:dyDescent="0.25">
      <c r="A526" s="77"/>
      <c r="B526" s="78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7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</row>
    <row r="527" spans="1:33" x14ac:dyDescent="0.25">
      <c r="A527" s="77"/>
      <c r="B527" s="78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7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</row>
    <row r="528" spans="1:33" x14ac:dyDescent="0.25">
      <c r="A528" s="77"/>
      <c r="B528" s="78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7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</row>
    <row r="529" spans="1:33" x14ac:dyDescent="0.25">
      <c r="A529" s="77"/>
      <c r="B529" s="78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7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</row>
    <row r="530" spans="1:33" x14ac:dyDescent="0.25">
      <c r="A530" s="77"/>
      <c r="B530" s="78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7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</row>
    <row r="531" spans="1:33" x14ac:dyDescent="0.25">
      <c r="A531" s="77"/>
      <c r="B531" s="78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7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</row>
    <row r="532" spans="1:33" x14ac:dyDescent="0.25">
      <c r="A532" s="77"/>
      <c r="B532" s="78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7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</row>
    <row r="533" spans="1:33" x14ac:dyDescent="0.25">
      <c r="A533" s="77"/>
      <c r="B533" s="78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7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</row>
    <row r="534" spans="1:33" x14ac:dyDescent="0.25">
      <c r="A534" s="77"/>
      <c r="B534" s="78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7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</row>
    <row r="535" spans="1:33" x14ac:dyDescent="0.25">
      <c r="A535" s="77"/>
      <c r="B535" s="78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7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</row>
    <row r="536" spans="1:33" x14ac:dyDescent="0.25">
      <c r="A536" s="77"/>
      <c r="B536" s="78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7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</row>
    <row r="537" spans="1:33" x14ac:dyDescent="0.25">
      <c r="A537" s="77"/>
      <c r="B537" s="78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7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</row>
    <row r="538" spans="1:33" x14ac:dyDescent="0.25">
      <c r="A538" s="77"/>
      <c r="B538" s="78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7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</row>
    <row r="539" spans="1:33" x14ac:dyDescent="0.25">
      <c r="A539" s="77"/>
      <c r="B539" s="78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7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</row>
    <row r="540" spans="1:33" x14ac:dyDescent="0.25">
      <c r="A540" s="77"/>
      <c r="B540" s="78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7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</row>
    <row r="541" spans="1:33" x14ac:dyDescent="0.25">
      <c r="A541" s="77"/>
      <c r="B541" s="78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7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</row>
    <row r="542" spans="1:33" x14ac:dyDescent="0.25">
      <c r="A542" s="77"/>
      <c r="B542" s="78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7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</row>
    <row r="543" spans="1:33" x14ac:dyDescent="0.25">
      <c r="A543" s="77"/>
      <c r="B543" s="78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7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</row>
    <row r="544" spans="1:33" x14ac:dyDescent="0.25">
      <c r="A544" s="77"/>
      <c r="B544" s="78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7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</row>
    <row r="545" spans="1:33" x14ac:dyDescent="0.25">
      <c r="A545" s="77"/>
      <c r="B545" s="78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7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</row>
    <row r="546" spans="1:33" x14ac:dyDescent="0.25">
      <c r="A546" s="77"/>
      <c r="B546" s="78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7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</row>
    <row r="547" spans="1:33" x14ac:dyDescent="0.25">
      <c r="A547" s="77"/>
      <c r="B547" s="78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7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</row>
    <row r="548" spans="1:33" x14ac:dyDescent="0.25">
      <c r="A548" s="77"/>
      <c r="B548" s="78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7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</row>
    <row r="549" spans="1:33" x14ac:dyDescent="0.25">
      <c r="A549" s="77"/>
      <c r="B549" s="78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7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</row>
    <row r="550" spans="1:33" x14ac:dyDescent="0.25">
      <c r="A550" s="77"/>
      <c r="B550" s="78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7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</row>
    <row r="551" spans="1:33" x14ac:dyDescent="0.25">
      <c r="A551" s="77"/>
      <c r="B551" s="78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7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</row>
    <row r="552" spans="1:33" x14ac:dyDescent="0.25">
      <c r="A552" s="77"/>
      <c r="B552" s="78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7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</row>
    <row r="553" spans="1:33" x14ac:dyDescent="0.25">
      <c r="A553" s="77"/>
      <c r="B553" s="78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7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</row>
    <row r="554" spans="1:33" x14ac:dyDescent="0.25">
      <c r="A554" s="77"/>
      <c r="B554" s="78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7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</row>
    <row r="555" spans="1:33" x14ac:dyDescent="0.25">
      <c r="A555" s="77"/>
      <c r="B555" s="78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7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</row>
    <row r="556" spans="1:33" x14ac:dyDescent="0.25">
      <c r="A556" s="77"/>
      <c r="B556" s="78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7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</row>
    <row r="557" spans="1:33" x14ac:dyDescent="0.25">
      <c r="A557" s="77"/>
      <c r="B557" s="78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7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</row>
    <row r="558" spans="1:33" x14ac:dyDescent="0.25">
      <c r="A558" s="77"/>
      <c r="B558" s="78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7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</row>
    <row r="559" spans="1:33" x14ac:dyDescent="0.25">
      <c r="A559" s="77"/>
      <c r="B559" s="78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7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</row>
    <row r="560" spans="1:33" x14ac:dyDescent="0.25">
      <c r="A560" s="77"/>
      <c r="B560" s="78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7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</row>
    <row r="561" spans="1:33" x14ac:dyDescent="0.25">
      <c r="A561" s="77"/>
      <c r="B561" s="78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7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</row>
    <row r="562" spans="1:33" x14ac:dyDescent="0.25">
      <c r="A562" s="77"/>
      <c r="B562" s="78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7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</row>
    <row r="563" spans="1:33" x14ac:dyDescent="0.25">
      <c r="A563" s="77"/>
      <c r="B563" s="78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7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</row>
    <row r="564" spans="1:33" x14ac:dyDescent="0.25">
      <c r="A564" s="77"/>
      <c r="B564" s="78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7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</row>
    <row r="565" spans="1:33" x14ac:dyDescent="0.25">
      <c r="A565" s="77"/>
      <c r="B565" s="78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7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</row>
    <row r="566" spans="1:33" x14ac:dyDescent="0.25">
      <c r="A566" s="77"/>
      <c r="B566" s="78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7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</row>
    <row r="567" spans="1:33" x14ac:dyDescent="0.25">
      <c r="A567" s="77"/>
      <c r="B567" s="78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7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</row>
    <row r="568" spans="1:33" x14ac:dyDescent="0.25">
      <c r="A568" s="77"/>
      <c r="B568" s="78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7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</row>
    <row r="569" spans="1:33" x14ac:dyDescent="0.25">
      <c r="A569" s="77"/>
      <c r="B569" s="78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7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</row>
    <row r="570" spans="1:33" x14ac:dyDescent="0.25">
      <c r="A570" s="77"/>
      <c r="B570" s="78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7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</row>
    <row r="571" spans="1:33" x14ac:dyDescent="0.25">
      <c r="A571" s="77"/>
      <c r="B571" s="78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7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</row>
    <row r="572" spans="1:33" x14ac:dyDescent="0.25">
      <c r="A572" s="77"/>
      <c r="B572" s="78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7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</row>
    <row r="573" spans="1:33" x14ac:dyDescent="0.25">
      <c r="A573" s="77"/>
      <c r="B573" s="78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7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</row>
    <row r="574" spans="1:33" x14ac:dyDescent="0.25">
      <c r="A574" s="77"/>
      <c r="B574" s="78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7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</row>
    <row r="575" spans="1:33" x14ac:dyDescent="0.25">
      <c r="A575" s="77"/>
      <c r="B575" s="78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7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</row>
    <row r="576" spans="1:33" x14ac:dyDescent="0.25">
      <c r="A576" s="77"/>
      <c r="B576" s="78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7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</row>
    <row r="577" spans="1:33" x14ac:dyDescent="0.25">
      <c r="A577" s="77"/>
      <c r="B577" s="78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7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</row>
    <row r="578" spans="1:33" x14ac:dyDescent="0.25">
      <c r="A578" s="77"/>
      <c r="B578" s="78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7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</row>
    <row r="579" spans="1:33" x14ac:dyDescent="0.25">
      <c r="A579" s="77"/>
      <c r="B579" s="78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7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</row>
    <row r="580" spans="1:33" x14ac:dyDescent="0.25">
      <c r="A580" s="77"/>
      <c r="B580" s="78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7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</row>
    <row r="581" spans="1:33" x14ac:dyDescent="0.25">
      <c r="A581" s="77"/>
      <c r="B581" s="78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7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</row>
    <row r="582" spans="1:33" x14ac:dyDescent="0.25">
      <c r="A582" s="77"/>
      <c r="B582" s="78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7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</row>
    <row r="583" spans="1:33" x14ac:dyDescent="0.25">
      <c r="A583" s="77"/>
      <c r="B583" s="78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7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</row>
    <row r="584" spans="1:33" x14ac:dyDescent="0.25">
      <c r="A584" s="77"/>
      <c r="B584" s="78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7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</row>
    <row r="585" spans="1:33" x14ac:dyDescent="0.25">
      <c r="A585" s="77"/>
      <c r="B585" s="78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7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</row>
    <row r="586" spans="1:33" x14ac:dyDescent="0.25">
      <c r="A586" s="77"/>
      <c r="B586" s="78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7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</row>
    <row r="587" spans="1:33" x14ac:dyDescent="0.25">
      <c r="A587" s="77"/>
      <c r="B587" s="78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7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</row>
    <row r="588" spans="1:33" x14ac:dyDescent="0.25">
      <c r="A588" s="77"/>
      <c r="B588" s="78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7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</row>
    <row r="589" spans="1:33" x14ac:dyDescent="0.25">
      <c r="A589" s="77"/>
      <c r="B589" s="78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7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</row>
    <row r="590" spans="1:33" x14ac:dyDescent="0.25">
      <c r="A590" s="77"/>
      <c r="B590" s="78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7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</row>
    <row r="591" spans="1:33" x14ac:dyDescent="0.25">
      <c r="A591" s="77"/>
      <c r="B591" s="78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7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</row>
    <row r="592" spans="1:33" x14ac:dyDescent="0.25">
      <c r="A592" s="77"/>
      <c r="B592" s="78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7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</row>
    <row r="593" spans="1:33" x14ac:dyDescent="0.25">
      <c r="A593" s="77"/>
      <c r="B593" s="78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7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</row>
    <row r="594" spans="1:33" x14ac:dyDescent="0.25">
      <c r="A594" s="77"/>
      <c r="B594" s="78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7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</row>
    <row r="595" spans="1:33" x14ac:dyDescent="0.25">
      <c r="A595" s="77"/>
      <c r="B595" s="78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7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</row>
    <row r="596" spans="1:33" x14ac:dyDescent="0.25">
      <c r="A596" s="77"/>
      <c r="B596" s="78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7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</row>
    <row r="597" spans="1:33" x14ac:dyDescent="0.25">
      <c r="A597" s="77"/>
      <c r="B597" s="78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7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</row>
    <row r="598" spans="1:33" x14ac:dyDescent="0.25">
      <c r="A598" s="77"/>
      <c r="B598" s="78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7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</row>
    <row r="599" spans="1:33" x14ac:dyDescent="0.25">
      <c r="A599" s="77"/>
      <c r="B599" s="78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7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</row>
    <row r="600" spans="1:33" x14ac:dyDescent="0.25">
      <c r="A600" s="77"/>
      <c r="B600" s="78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7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</row>
    <row r="601" spans="1:33" x14ac:dyDescent="0.25">
      <c r="A601" s="77"/>
      <c r="B601" s="78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7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</row>
    <row r="602" spans="1:33" x14ac:dyDescent="0.25">
      <c r="A602" s="77"/>
      <c r="B602" s="78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7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</row>
    <row r="603" spans="1:33" x14ac:dyDescent="0.25">
      <c r="A603" s="77"/>
      <c r="B603" s="78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7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</row>
    <row r="604" spans="1:33" x14ac:dyDescent="0.25">
      <c r="A604" s="77"/>
      <c r="B604" s="78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7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</row>
    <row r="605" spans="1:33" x14ac:dyDescent="0.25">
      <c r="A605" s="77"/>
      <c r="B605" s="78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7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</row>
    <row r="606" spans="1:33" x14ac:dyDescent="0.25">
      <c r="A606" s="77"/>
      <c r="B606" s="78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7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</row>
    <row r="607" spans="1:33" x14ac:dyDescent="0.25">
      <c r="A607" s="77"/>
      <c r="B607" s="78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7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</row>
    <row r="608" spans="1:33" x14ac:dyDescent="0.25">
      <c r="A608" s="77"/>
      <c r="B608" s="78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7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</row>
    <row r="609" spans="1:33" x14ac:dyDescent="0.25">
      <c r="A609" s="77"/>
      <c r="B609" s="78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7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</row>
    <row r="610" spans="1:33" x14ac:dyDescent="0.25">
      <c r="A610" s="77"/>
      <c r="B610" s="78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7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</row>
    <row r="611" spans="1:33" x14ac:dyDescent="0.25">
      <c r="A611" s="77"/>
      <c r="B611" s="78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7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</row>
    <row r="612" spans="1:33" x14ac:dyDescent="0.25">
      <c r="A612" s="77"/>
      <c r="B612" s="78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7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</row>
    <row r="613" spans="1:33" x14ac:dyDescent="0.25">
      <c r="A613" s="77"/>
      <c r="B613" s="78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7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</row>
    <row r="614" spans="1:33" x14ac:dyDescent="0.25">
      <c r="A614" s="77"/>
      <c r="B614" s="78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7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</row>
    <row r="615" spans="1:33" x14ac:dyDescent="0.25">
      <c r="A615" s="77"/>
      <c r="B615" s="78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7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</row>
    <row r="616" spans="1:33" x14ac:dyDescent="0.25">
      <c r="A616" s="77"/>
      <c r="B616" s="78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7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</row>
    <row r="617" spans="1:33" x14ac:dyDescent="0.25">
      <c r="A617" s="77"/>
      <c r="B617" s="78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7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</row>
    <row r="618" spans="1:33" x14ac:dyDescent="0.25">
      <c r="A618" s="77"/>
      <c r="B618" s="78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7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</row>
    <row r="619" spans="1:33" x14ac:dyDescent="0.25">
      <c r="A619" s="77"/>
      <c r="B619" s="78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7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</row>
    <row r="620" spans="1:33" x14ac:dyDescent="0.25">
      <c r="A620" s="77"/>
      <c r="B620" s="78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7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</row>
    <row r="621" spans="1:33" x14ac:dyDescent="0.25">
      <c r="A621" s="77"/>
      <c r="B621" s="78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7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</row>
    <row r="622" spans="1:33" x14ac:dyDescent="0.25">
      <c r="A622" s="77"/>
      <c r="B622" s="78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7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</row>
    <row r="623" spans="1:33" x14ac:dyDescent="0.25">
      <c r="A623" s="77"/>
      <c r="B623" s="78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7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</row>
    <row r="624" spans="1:33" x14ac:dyDescent="0.25">
      <c r="A624" s="77"/>
      <c r="B624" s="78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7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</row>
    <row r="625" spans="1:33" x14ac:dyDescent="0.25">
      <c r="A625" s="77"/>
      <c r="B625" s="78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7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</row>
    <row r="626" spans="1:33" x14ac:dyDescent="0.25">
      <c r="A626" s="77"/>
      <c r="B626" s="78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7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</row>
    <row r="627" spans="1:33" x14ac:dyDescent="0.25">
      <c r="A627" s="77"/>
      <c r="B627" s="78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7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</row>
    <row r="628" spans="1:33" x14ac:dyDescent="0.25">
      <c r="A628" s="77"/>
      <c r="B628" s="78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7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</row>
    <row r="629" spans="1:33" x14ac:dyDescent="0.25">
      <c r="A629" s="77"/>
      <c r="B629" s="78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7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</row>
    <row r="630" spans="1:33" x14ac:dyDescent="0.25">
      <c r="A630" s="77"/>
      <c r="B630" s="78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7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</row>
    <row r="631" spans="1:33" x14ac:dyDescent="0.25">
      <c r="A631" s="77"/>
      <c r="B631" s="78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7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</row>
    <row r="632" spans="1:33" x14ac:dyDescent="0.25">
      <c r="A632" s="77"/>
      <c r="B632" s="78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7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</row>
    <row r="633" spans="1:33" x14ac:dyDescent="0.25">
      <c r="A633" s="77"/>
      <c r="B633" s="78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7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</row>
    <row r="634" spans="1:33" x14ac:dyDescent="0.25">
      <c r="A634" s="77"/>
      <c r="B634" s="78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7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</row>
    <row r="635" spans="1:33" x14ac:dyDescent="0.25">
      <c r="A635" s="77"/>
      <c r="B635" s="78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7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</row>
    <row r="636" spans="1:33" x14ac:dyDescent="0.25">
      <c r="A636" s="77"/>
      <c r="B636" s="78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7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</row>
    <row r="637" spans="1:33" x14ac:dyDescent="0.25">
      <c r="A637" s="77"/>
      <c r="B637" s="78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7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</row>
    <row r="638" spans="1:33" x14ac:dyDescent="0.25">
      <c r="A638" s="77"/>
      <c r="B638" s="78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7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</row>
    <row r="639" spans="1:33" x14ac:dyDescent="0.25">
      <c r="A639" s="77"/>
      <c r="B639" s="78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7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</row>
    <row r="640" spans="1:33" x14ac:dyDescent="0.25">
      <c r="A640" s="77"/>
      <c r="B640" s="78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7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</row>
    <row r="641" spans="1:33" x14ac:dyDescent="0.25">
      <c r="A641" s="77"/>
      <c r="B641" s="78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7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</row>
    <row r="642" spans="1:33" x14ac:dyDescent="0.25">
      <c r="A642" s="77"/>
      <c r="B642" s="78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7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</row>
    <row r="643" spans="1:33" x14ac:dyDescent="0.25">
      <c r="A643" s="77"/>
      <c r="B643" s="78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7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</row>
    <row r="644" spans="1:33" x14ac:dyDescent="0.25">
      <c r="A644" s="77"/>
      <c r="B644" s="78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7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</row>
    <row r="645" spans="1:33" x14ac:dyDescent="0.25">
      <c r="A645" s="77"/>
      <c r="B645" s="78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7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</row>
    <row r="646" spans="1:33" x14ac:dyDescent="0.25">
      <c r="A646" s="77"/>
      <c r="B646" s="78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7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</row>
    <row r="647" spans="1:33" x14ac:dyDescent="0.25">
      <c r="A647" s="77"/>
      <c r="B647" s="78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7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</row>
    <row r="648" spans="1:33" x14ac:dyDescent="0.25">
      <c r="A648" s="77"/>
      <c r="B648" s="78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7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</row>
    <row r="649" spans="1:33" x14ac:dyDescent="0.25">
      <c r="A649" s="77"/>
      <c r="B649" s="78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7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</row>
    <row r="650" spans="1:33" x14ac:dyDescent="0.25">
      <c r="A650" s="77"/>
      <c r="B650" s="78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7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</row>
    <row r="651" spans="1:33" x14ac:dyDescent="0.25">
      <c r="A651" s="77"/>
      <c r="B651" s="78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7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</row>
    <row r="652" spans="1:33" x14ac:dyDescent="0.25">
      <c r="A652" s="77"/>
      <c r="B652" s="78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7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</row>
    <row r="653" spans="1:33" x14ac:dyDescent="0.25">
      <c r="A653" s="77"/>
      <c r="B653" s="78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7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</row>
    <row r="654" spans="1:33" x14ac:dyDescent="0.25">
      <c r="A654" s="77"/>
      <c r="B654" s="78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7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</row>
    <row r="655" spans="1:33" x14ac:dyDescent="0.25">
      <c r="A655" s="77"/>
      <c r="B655" s="78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7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</row>
    <row r="656" spans="1:33" x14ac:dyDescent="0.25">
      <c r="A656" s="77"/>
      <c r="B656" s="78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7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</row>
    <row r="657" spans="1:33" x14ac:dyDescent="0.25">
      <c r="A657" s="77"/>
      <c r="B657" s="78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7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</row>
    <row r="658" spans="1:33" x14ac:dyDescent="0.25">
      <c r="A658" s="77"/>
      <c r="B658" s="78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7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</row>
    <row r="659" spans="1:33" x14ac:dyDescent="0.25">
      <c r="A659" s="77"/>
      <c r="B659" s="78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7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</row>
    <row r="660" spans="1:33" x14ac:dyDescent="0.25">
      <c r="A660" s="77"/>
      <c r="B660" s="78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7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</row>
    <row r="661" spans="1:33" x14ac:dyDescent="0.25">
      <c r="A661" s="77"/>
      <c r="B661" s="78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7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</row>
    <row r="662" spans="1:33" x14ac:dyDescent="0.25">
      <c r="A662" s="77"/>
      <c r="B662" s="78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7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</row>
    <row r="663" spans="1:33" x14ac:dyDescent="0.25">
      <c r="A663" s="77"/>
      <c r="B663" s="78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7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</row>
    <row r="664" spans="1:33" x14ac:dyDescent="0.25">
      <c r="A664" s="77"/>
      <c r="B664" s="78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7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</row>
    <row r="665" spans="1:33" x14ac:dyDescent="0.25">
      <c r="A665" s="77"/>
      <c r="B665" s="78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7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</row>
    <row r="666" spans="1:33" x14ac:dyDescent="0.25">
      <c r="A666" s="77"/>
      <c r="B666" s="78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7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</row>
    <row r="667" spans="1:33" x14ac:dyDescent="0.25">
      <c r="A667" s="77"/>
      <c r="B667" s="78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7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</row>
    <row r="668" spans="1:33" x14ac:dyDescent="0.25">
      <c r="A668" s="77"/>
      <c r="B668" s="78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7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</row>
    <row r="669" spans="1:33" x14ac:dyDescent="0.25">
      <c r="A669" s="77"/>
      <c r="B669" s="78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7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</row>
    <row r="670" spans="1:33" x14ac:dyDescent="0.25">
      <c r="A670" s="77"/>
      <c r="B670" s="78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7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</row>
    <row r="671" spans="1:33" x14ac:dyDescent="0.25">
      <c r="A671" s="77"/>
      <c r="B671" s="78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7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</row>
    <row r="672" spans="1:33" x14ac:dyDescent="0.25">
      <c r="A672" s="77"/>
      <c r="B672" s="78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7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</row>
    <row r="673" spans="1:33" x14ac:dyDescent="0.25">
      <c r="A673" s="77"/>
      <c r="B673" s="78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7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</row>
    <row r="674" spans="1:33" x14ac:dyDescent="0.25">
      <c r="A674" s="77"/>
      <c r="B674" s="78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7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</row>
    <row r="675" spans="1:33" x14ac:dyDescent="0.25">
      <c r="A675" s="77"/>
      <c r="B675" s="78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7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</row>
    <row r="676" spans="1:33" x14ac:dyDescent="0.25">
      <c r="A676" s="77"/>
      <c r="B676" s="78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7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</row>
    <row r="677" spans="1:33" x14ac:dyDescent="0.25">
      <c r="A677" s="77"/>
      <c r="B677" s="78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7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</row>
    <row r="678" spans="1:33" x14ac:dyDescent="0.25">
      <c r="A678" s="77"/>
      <c r="B678" s="78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7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</row>
    <row r="679" spans="1:33" x14ac:dyDescent="0.25">
      <c r="A679" s="77"/>
      <c r="B679" s="78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7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</row>
    <row r="680" spans="1:33" x14ac:dyDescent="0.25">
      <c r="A680" s="77"/>
      <c r="B680" s="78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7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</row>
    <row r="681" spans="1:33" x14ac:dyDescent="0.25">
      <c r="A681" s="77"/>
      <c r="B681" s="78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7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</row>
    <row r="682" spans="1:33" x14ac:dyDescent="0.25">
      <c r="A682" s="77"/>
      <c r="B682" s="78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7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</row>
    <row r="683" spans="1:33" x14ac:dyDescent="0.25">
      <c r="A683" s="77"/>
      <c r="B683" s="78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7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</row>
    <row r="684" spans="1:33" x14ac:dyDescent="0.25">
      <c r="A684" s="77"/>
      <c r="B684" s="78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7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</row>
    <row r="685" spans="1:33" x14ac:dyDescent="0.25">
      <c r="A685" s="77"/>
      <c r="B685" s="78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7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</row>
    <row r="686" spans="1:33" x14ac:dyDescent="0.25">
      <c r="A686" s="77"/>
      <c r="B686" s="78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7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</row>
    <row r="687" spans="1:33" x14ac:dyDescent="0.25">
      <c r="A687" s="77"/>
      <c r="B687" s="78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7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</row>
    <row r="688" spans="1:33" x14ac:dyDescent="0.25">
      <c r="A688" s="77"/>
      <c r="B688" s="78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7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</row>
    <row r="689" spans="1:33" x14ac:dyDescent="0.25">
      <c r="A689" s="77"/>
      <c r="B689" s="78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7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</row>
    <row r="690" spans="1:33" x14ac:dyDescent="0.25">
      <c r="A690" s="77"/>
      <c r="B690" s="78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7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</row>
    <row r="691" spans="1:33" x14ac:dyDescent="0.25">
      <c r="A691" s="77"/>
      <c r="B691" s="78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7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</row>
    <row r="692" spans="1:33" x14ac:dyDescent="0.25">
      <c r="A692" s="77"/>
      <c r="B692" s="78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7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</row>
    <row r="693" spans="1:33" x14ac:dyDescent="0.25">
      <c r="A693" s="77"/>
      <c r="B693" s="78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7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</row>
    <row r="694" spans="1:33" x14ac:dyDescent="0.25">
      <c r="A694" s="77"/>
      <c r="B694" s="78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7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</row>
    <row r="695" spans="1:33" x14ac:dyDescent="0.25">
      <c r="A695" s="77"/>
      <c r="B695" s="78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7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</row>
    <row r="696" spans="1:33" x14ac:dyDescent="0.25">
      <c r="A696" s="77"/>
      <c r="B696" s="78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7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</row>
    <row r="697" spans="1:33" x14ac:dyDescent="0.25">
      <c r="A697" s="77"/>
      <c r="B697" s="78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7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</row>
    <row r="698" spans="1:33" x14ac:dyDescent="0.25">
      <c r="A698" s="77"/>
      <c r="B698" s="78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7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</row>
    <row r="699" spans="1:33" x14ac:dyDescent="0.25">
      <c r="A699" s="77"/>
      <c r="B699" s="78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7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</row>
    <row r="700" spans="1:33" x14ac:dyDescent="0.25">
      <c r="A700" s="77"/>
      <c r="B700" s="78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7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</row>
    <row r="701" spans="1:33" x14ac:dyDescent="0.25">
      <c r="A701" s="77"/>
      <c r="B701" s="78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7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</row>
    <row r="702" spans="1:33" x14ac:dyDescent="0.25">
      <c r="A702" s="77"/>
      <c r="B702" s="78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7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</row>
    <row r="703" spans="1:33" x14ac:dyDescent="0.25">
      <c r="A703" s="77"/>
      <c r="B703" s="78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7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</row>
    <row r="704" spans="1:33" x14ac:dyDescent="0.25">
      <c r="A704" s="77"/>
      <c r="B704" s="78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7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</row>
    <row r="705" spans="1:33" x14ac:dyDescent="0.25">
      <c r="A705" s="77"/>
      <c r="B705" s="78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7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</row>
    <row r="706" spans="1:33" x14ac:dyDescent="0.25">
      <c r="A706" s="77"/>
      <c r="B706" s="78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7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</row>
    <row r="707" spans="1:33" x14ac:dyDescent="0.25">
      <c r="A707" s="77"/>
      <c r="B707" s="78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7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</row>
    <row r="708" spans="1:33" x14ac:dyDescent="0.25">
      <c r="A708" s="77"/>
      <c r="B708" s="78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7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</row>
    <row r="709" spans="1:33" x14ac:dyDescent="0.25">
      <c r="A709" s="77"/>
      <c r="B709" s="78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7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</row>
    <row r="710" spans="1:33" x14ac:dyDescent="0.25">
      <c r="A710" s="77"/>
      <c r="B710" s="78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7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</row>
    <row r="711" spans="1:33" x14ac:dyDescent="0.25">
      <c r="A711" s="77"/>
      <c r="B711" s="78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7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</row>
    <row r="712" spans="1:33" x14ac:dyDescent="0.25">
      <c r="A712" s="77"/>
      <c r="B712" s="78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7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1:33" x14ac:dyDescent="0.25">
      <c r="A713" s="77"/>
      <c r="B713" s="78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7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</row>
    <row r="714" spans="1:33" x14ac:dyDescent="0.25">
      <c r="A714" s="77"/>
      <c r="B714" s="78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7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</row>
    <row r="715" spans="1:33" x14ac:dyDescent="0.25">
      <c r="A715" s="77"/>
      <c r="B715" s="78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7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</row>
    <row r="716" spans="1:33" x14ac:dyDescent="0.25">
      <c r="A716" s="77"/>
      <c r="B716" s="78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7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</row>
    <row r="717" spans="1:33" x14ac:dyDescent="0.25">
      <c r="A717" s="77"/>
      <c r="B717" s="78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7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</row>
    <row r="718" spans="1:33" x14ac:dyDescent="0.25">
      <c r="A718" s="77"/>
      <c r="B718" s="78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7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</row>
    <row r="719" spans="1:33" x14ac:dyDescent="0.25">
      <c r="A719" s="77"/>
      <c r="B719" s="78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7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</row>
    <row r="720" spans="1:33" x14ac:dyDescent="0.25">
      <c r="A720" s="77"/>
      <c r="B720" s="78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7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</row>
    <row r="721" spans="1:33" x14ac:dyDescent="0.25">
      <c r="A721" s="77"/>
      <c r="B721" s="78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7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</row>
    <row r="722" spans="1:33" x14ac:dyDescent="0.25">
      <c r="A722" s="77"/>
      <c r="B722" s="78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7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</row>
    <row r="723" spans="1:33" x14ac:dyDescent="0.25">
      <c r="A723" s="77"/>
      <c r="B723" s="78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7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</row>
    <row r="724" spans="1:33" x14ac:dyDescent="0.25">
      <c r="A724" s="77"/>
      <c r="B724" s="78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7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</row>
    <row r="725" spans="1:33" x14ac:dyDescent="0.25">
      <c r="A725" s="77"/>
      <c r="B725" s="78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7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</row>
    <row r="726" spans="1:33" x14ac:dyDescent="0.25">
      <c r="A726" s="77"/>
      <c r="B726" s="78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7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</row>
    <row r="727" spans="1:33" x14ac:dyDescent="0.25">
      <c r="A727" s="77"/>
      <c r="B727" s="78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7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</row>
    <row r="728" spans="1:33" x14ac:dyDescent="0.25">
      <c r="A728" s="77"/>
      <c r="B728" s="78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7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</row>
    <row r="729" spans="1:33" x14ac:dyDescent="0.25">
      <c r="A729" s="77"/>
      <c r="B729" s="78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7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</row>
    <row r="730" spans="1:33" x14ac:dyDescent="0.25">
      <c r="A730" s="77"/>
      <c r="B730" s="78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7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</row>
    <row r="731" spans="1:33" x14ac:dyDescent="0.25">
      <c r="A731" s="77"/>
      <c r="B731" s="78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7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</row>
    <row r="732" spans="1:33" x14ac:dyDescent="0.25">
      <c r="A732" s="77"/>
      <c r="B732" s="78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7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</row>
    <row r="733" spans="1:33" x14ac:dyDescent="0.25">
      <c r="A733" s="77"/>
      <c r="B733" s="78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7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</row>
    <row r="734" spans="1:33" x14ac:dyDescent="0.25">
      <c r="A734" s="77"/>
      <c r="B734" s="78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7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</row>
    <row r="735" spans="1:33" x14ac:dyDescent="0.25">
      <c r="A735" s="77"/>
      <c r="B735" s="78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7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</row>
    <row r="736" spans="1:33" x14ac:dyDescent="0.25">
      <c r="A736" s="77"/>
      <c r="B736" s="78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7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</row>
    <row r="737" spans="1:33" x14ac:dyDescent="0.25">
      <c r="A737" s="77"/>
      <c r="B737" s="78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7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</row>
    <row r="738" spans="1:33" x14ac:dyDescent="0.25">
      <c r="A738" s="77"/>
      <c r="B738" s="78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7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</row>
    <row r="739" spans="1:33" x14ac:dyDescent="0.25">
      <c r="A739" s="77"/>
      <c r="B739" s="78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7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</row>
    <row r="740" spans="1:33" x14ac:dyDescent="0.25">
      <c r="A740" s="77"/>
      <c r="B740" s="78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7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</row>
    <row r="741" spans="1:33" x14ac:dyDescent="0.25">
      <c r="A741" s="77"/>
      <c r="B741" s="78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7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</row>
    <row r="742" spans="1:33" x14ac:dyDescent="0.25">
      <c r="A742" s="77"/>
      <c r="B742" s="78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7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</row>
    <row r="743" spans="1:33" x14ac:dyDescent="0.25">
      <c r="A743" s="77"/>
      <c r="B743" s="78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7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</row>
    <row r="744" spans="1:33" x14ac:dyDescent="0.25">
      <c r="A744" s="77"/>
      <c r="B744" s="78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7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</row>
    <row r="745" spans="1:33" x14ac:dyDescent="0.25">
      <c r="A745" s="77"/>
      <c r="B745" s="78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7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</row>
    <row r="746" spans="1:33" x14ac:dyDescent="0.25">
      <c r="A746" s="77"/>
      <c r="B746" s="78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7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</row>
    <row r="747" spans="1:33" x14ac:dyDescent="0.25">
      <c r="A747" s="77"/>
      <c r="B747" s="78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7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</row>
    <row r="748" spans="1:33" x14ac:dyDescent="0.25">
      <c r="A748" s="77"/>
      <c r="B748" s="78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7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</row>
    <row r="749" spans="1:33" x14ac:dyDescent="0.25">
      <c r="A749" s="77"/>
      <c r="B749" s="78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7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</row>
    <row r="750" spans="1:33" x14ac:dyDescent="0.25">
      <c r="A750" s="77"/>
      <c r="B750" s="78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7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</row>
    <row r="751" spans="1:33" x14ac:dyDescent="0.25">
      <c r="A751" s="77"/>
      <c r="B751" s="78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7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</row>
    <row r="752" spans="1:33" x14ac:dyDescent="0.25">
      <c r="A752" s="77"/>
      <c r="B752" s="78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7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</row>
    <row r="753" spans="1:33" x14ac:dyDescent="0.25">
      <c r="A753" s="77"/>
      <c r="B753" s="78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7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</row>
    <row r="754" spans="1:33" x14ac:dyDescent="0.25">
      <c r="A754" s="77"/>
      <c r="B754" s="78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7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</row>
    <row r="755" spans="1:33" x14ac:dyDescent="0.25">
      <c r="A755" s="77"/>
      <c r="B755" s="78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7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</row>
    <row r="756" spans="1:33" x14ac:dyDescent="0.25">
      <c r="A756" s="77"/>
      <c r="B756" s="78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7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</row>
    <row r="757" spans="1:33" x14ac:dyDescent="0.25">
      <c r="A757" s="77"/>
      <c r="B757" s="78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7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</row>
    <row r="758" spans="1:33" x14ac:dyDescent="0.25">
      <c r="A758" s="77"/>
      <c r="B758" s="78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7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</row>
    <row r="759" spans="1:33" x14ac:dyDescent="0.25">
      <c r="A759" s="77"/>
      <c r="B759" s="78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7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</row>
    <row r="760" spans="1:33" x14ac:dyDescent="0.25">
      <c r="A760" s="77"/>
      <c r="B760" s="78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7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</row>
    <row r="761" spans="1:33" x14ac:dyDescent="0.25">
      <c r="A761" s="77"/>
      <c r="B761" s="78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7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</row>
    <row r="762" spans="1:33" x14ac:dyDescent="0.25">
      <c r="A762" s="77"/>
      <c r="B762" s="78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7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</row>
    <row r="763" spans="1:33" x14ac:dyDescent="0.25">
      <c r="A763" s="77"/>
      <c r="B763" s="78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7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</row>
    <row r="764" spans="1:33" x14ac:dyDescent="0.25">
      <c r="A764" s="77"/>
      <c r="B764" s="78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7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</row>
    <row r="765" spans="1:33" x14ac:dyDescent="0.25">
      <c r="A765" s="77"/>
      <c r="B765" s="78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7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</row>
    <row r="766" spans="1:33" x14ac:dyDescent="0.25">
      <c r="A766" s="77"/>
      <c r="B766" s="78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7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</row>
    <row r="767" spans="1:33" x14ac:dyDescent="0.25">
      <c r="A767" s="77"/>
      <c r="B767" s="78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7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</row>
    <row r="768" spans="1:33" x14ac:dyDescent="0.25">
      <c r="A768" s="77"/>
      <c r="B768" s="78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7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</row>
    <row r="769" spans="1:33" x14ac:dyDescent="0.25">
      <c r="A769" s="77"/>
      <c r="B769" s="78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7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</row>
    <row r="770" spans="1:33" x14ac:dyDescent="0.25">
      <c r="A770" s="77"/>
      <c r="B770" s="78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7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</row>
    <row r="771" spans="1:33" x14ac:dyDescent="0.25">
      <c r="A771" s="77"/>
      <c r="B771" s="78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7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</row>
    <row r="772" spans="1:33" x14ac:dyDescent="0.25">
      <c r="A772" s="77"/>
      <c r="B772" s="78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7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</row>
    <row r="773" spans="1:33" x14ac:dyDescent="0.25">
      <c r="A773" s="77"/>
      <c r="B773" s="78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7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</row>
    <row r="774" spans="1:33" x14ac:dyDescent="0.25">
      <c r="A774" s="77"/>
      <c r="B774" s="78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7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</row>
    <row r="775" spans="1:33" x14ac:dyDescent="0.25">
      <c r="A775" s="77"/>
      <c r="B775" s="78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7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</row>
    <row r="776" spans="1:33" x14ac:dyDescent="0.25">
      <c r="A776" s="77"/>
      <c r="B776" s="78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7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</row>
    <row r="777" spans="1:33" x14ac:dyDescent="0.25">
      <c r="A777" s="77"/>
      <c r="B777" s="78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7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</row>
    <row r="778" spans="1:33" x14ac:dyDescent="0.25">
      <c r="A778" s="77"/>
      <c r="B778" s="78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7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</row>
    <row r="779" spans="1:33" x14ac:dyDescent="0.25">
      <c r="A779" s="77"/>
      <c r="B779" s="78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7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</row>
    <row r="780" spans="1:33" x14ac:dyDescent="0.25">
      <c r="A780" s="77"/>
      <c r="B780" s="78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7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</row>
    <row r="781" spans="1:33" x14ac:dyDescent="0.25">
      <c r="A781" s="77"/>
      <c r="B781" s="78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7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</row>
    <row r="782" spans="1:33" x14ac:dyDescent="0.25">
      <c r="A782" s="77"/>
      <c r="B782" s="78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7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</row>
    <row r="783" spans="1:33" x14ac:dyDescent="0.25">
      <c r="A783" s="77"/>
      <c r="B783" s="78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7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</row>
    <row r="784" spans="1:33" x14ac:dyDescent="0.25">
      <c r="A784" s="77"/>
      <c r="B784" s="78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7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</row>
    <row r="785" spans="1:33" x14ac:dyDescent="0.25">
      <c r="A785" s="77"/>
      <c r="B785" s="78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7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</row>
    <row r="786" spans="1:33" x14ac:dyDescent="0.25">
      <c r="A786" s="77"/>
      <c r="B786" s="78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7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</row>
    <row r="787" spans="1:33" x14ac:dyDescent="0.25">
      <c r="A787" s="77"/>
      <c r="B787" s="78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7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</row>
    <row r="788" spans="1:33" x14ac:dyDescent="0.25">
      <c r="A788" s="77"/>
      <c r="B788" s="78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7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</row>
    <row r="789" spans="1:33" x14ac:dyDescent="0.25">
      <c r="A789" s="77"/>
      <c r="B789" s="78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7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</row>
    <row r="790" spans="1:33" x14ac:dyDescent="0.25">
      <c r="A790" s="77"/>
      <c r="B790" s="78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7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</row>
    <row r="791" spans="1:33" x14ac:dyDescent="0.25">
      <c r="A791" s="77"/>
      <c r="B791" s="78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7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</row>
    <row r="792" spans="1:33" x14ac:dyDescent="0.25">
      <c r="A792" s="77"/>
      <c r="B792" s="78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7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</row>
    <row r="793" spans="1:33" x14ac:dyDescent="0.25">
      <c r="A793" s="77"/>
      <c r="B793" s="78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7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</row>
    <row r="794" spans="1:33" x14ac:dyDescent="0.25">
      <c r="A794" s="77"/>
      <c r="B794" s="78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7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</row>
    <row r="795" spans="1:33" x14ac:dyDescent="0.25">
      <c r="A795" s="77"/>
      <c r="B795" s="78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7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</row>
    <row r="796" spans="1:33" x14ac:dyDescent="0.25">
      <c r="A796" s="77"/>
      <c r="B796" s="78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7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</row>
    <row r="797" spans="1:33" x14ac:dyDescent="0.25">
      <c r="A797" s="77"/>
      <c r="B797" s="78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7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</row>
    <row r="798" spans="1:33" x14ac:dyDescent="0.25">
      <c r="A798" s="77"/>
      <c r="B798" s="78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7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</row>
    <row r="799" spans="1:33" x14ac:dyDescent="0.25">
      <c r="A799" s="77"/>
      <c r="B799" s="78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7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</row>
    <row r="800" spans="1:33" x14ac:dyDescent="0.25">
      <c r="A800" s="77"/>
      <c r="B800" s="78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7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</row>
    <row r="801" spans="1:33" x14ac:dyDescent="0.25">
      <c r="A801" s="77"/>
      <c r="B801" s="78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7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</row>
    <row r="802" spans="1:33" x14ac:dyDescent="0.25">
      <c r="A802" s="77"/>
      <c r="B802" s="78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7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</row>
    <row r="803" spans="1:33" x14ac:dyDescent="0.25">
      <c r="A803" s="77"/>
      <c r="B803" s="78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7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</row>
    <row r="804" spans="1:33" x14ac:dyDescent="0.25">
      <c r="A804" s="77"/>
      <c r="B804" s="78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7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</row>
    <row r="805" spans="1:33" x14ac:dyDescent="0.25">
      <c r="A805" s="77"/>
      <c r="B805" s="78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7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</row>
    <row r="806" spans="1:33" x14ac:dyDescent="0.25">
      <c r="A806" s="77"/>
      <c r="B806" s="78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7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</row>
    <row r="807" spans="1:33" x14ac:dyDescent="0.25">
      <c r="A807" s="77"/>
      <c r="B807" s="78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7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</row>
    <row r="808" spans="1:33" x14ac:dyDescent="0.25">
      <c r="A808" s="77"/>
      <c r="B808" s="78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7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</row>
    <row r="809" spans="1:33" x14ac:dyDescent="0.25">
      <c r="A809" s="77"/>
      <c r="B809" s="78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7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</row>
    <row r="810" spans="1:33" x14ac:dyDescent="0.25">
      <c r="A810" s="77"/>
      <c r="B810" s="78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7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</row>
    <row r="811" spans="1:33" x14ac:dyDescent="0.25">
      <c r="A811" s="77"/>
      <c r="B811" s="78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7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</row>
    <row r="812" spans="1:33" x14ac:dyDescent="0.25">
      <c r="A812" s="77"/>
      <c r="B812" s="78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7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</row>
    <row r="813" spans="1:33" x14ac:dyDescent="0.25">
      <c r="A813" s="77"/>
      <c r="B813" s="78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7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</row>
    <row r="814" spans="1:33" x14ac:dyDescent="0.25">
      <c r="A814" s="77"/>
      <c r="B814" s="78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7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</row>
    <row r="815" spans="1:33" x14ac:dyDescent="0.25">
      <c r="A815" s="77"/>
      <c r="B815" s="78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7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</row>
    <row r="816" spans="1:33" x14ac:dyDescent="0.25">
      <c r="A816" s="77"/>
      <c r="B816" s="78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7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</row>
    <row r="817" spans="1:33" x14ac:dyDescent="0.25">
      <c r="A817" s="77"/>
      <c r="B817" s="78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7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</row>
    <row r="818" spans="1:33" x14ac:dyDescent="0.25">
      <c r="A818" s="77"/>
      <c r="B818" s="78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7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</row>
    <row r="819" spans="1:33" x14ac:dyDescent="0.25">
      <c r="A819" s="77"/>
      <c r="B819" s="78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7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</row>
    <row r="820" spans="1:33" x14ac:dyDescent="0.25">
      <c r="A820" s="77"/>
      <c r="B820" s="78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7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</row>
    <row r="821" spans="1:33" x14ac:dyDescent="0.25">
      <c r="A821" s="77"/>
      <c r="B821" s="78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7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</row>
    <row r="822" spans="1:33" x14ac:dyDescent="0.25">
      <c r="A822" s="77"/>
      <c r="B822" s="78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7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</row>
    <row r="823" spans="1:33" x14ac:dyDescent="0.25">
      <c r="A823" s="77"/>
      <c r="B823" s="78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7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</row>
    <row r="824" spans="1:33" x14ac:dyDescent="0.25">
      <c r="A824" s="77"/>
      <c r="B824" s="78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7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</row>
    <row r="825" spans="1:33" x14ac:dyDescent="0.25">
      <c r="A825" s="77"/>
      <c r="B825" s="78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7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</row>
    <row r="826" spans="1:33" x14ac:dyDescent="0.25">
      <c r="A826" s="77"/>
      <c r="B826" s="78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7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</row>
    <row r="827" spans="1:33" x14ac:dyDescent="0.25">
      <c r="A827" s="77"/>
      <c r="B827" s="78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7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</row>
    <row r="828" spans="1:33" x14ac:dyDescent="0.25">
      <c r="A828" s="77"/>
      <c r="B828" s="78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7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</row>
    <row r="829" spans="1:33" x14ac:dyDescent="0.25">
      <c r="A829" s="77"/>
      <c r="B829" s="78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7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</row>
    <row r="830" spans="1:33" x14ac:dyDescent="0.25">
      <c r="A830" s="77"/>
      <c r="B830" s="78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7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</row>
    <row r="831" spans="1:33" x14ac:dyDescent="0.25">
      <c r="A831" s="77"/>
      <c r="B831" s="78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7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</row>
    <row r="832" spans="1:33" x14ac:dyDescent="0.25">
      <c r="A832" s="77"/>
      <c r="B832" s="78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7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</row>
    <row r="833" spans="1:33" x14ac:dyDescent="0.25">
      <c r="A833" s="77"/>
      <c r="B833" s="78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7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</row>
    <row r="834" spans="1:33" x14ac:dyDescent="0.25">
      <c r="A834" s="77"/>
      <c r="B834" s="78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7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</row>
    <row r="835" spans="1:33" x14ac:dyDescent="0.25">
      <c r="A835" s="77"/>
      <c r="B835" s="78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7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</row>
    <row r="836" spans="1:33" x14ac:dyDescent="0.25">
      <c r="A836" s="77"/>
      <c r="B836" s="78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7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</row>
    <row r="837" spans="1:33" x14ac:dyDescent="0.25">
      <c r="A837" s="77"/>
      <c r="B837" s="78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7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</row>
    <row r="838" spans="1:33" x14ac:dyDescent="0.25">
      <c r="A838" s="77"/>
      <c r="B838" s="78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7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</row>
    <row r="839" spans="1:33" x14ac:dyDescent="0.25">
      <c r="A839" s="77"/>
      <c r="B839" s="78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7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</row>
    <row r="840" spans="1:33" x14ac:dyDescent="0.25">
      <c r="A840" s="77"/>
      <c r="B840" s="78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7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</row>
    <row r="841" spans="1:33" x14ac:dyDescent="0.25">
      <c r="A841" s="77"/>
      <c r="B841" s="78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7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</row>
    <row r="842" spans="1:33" x14ac:dyDescent="0.25">
      <c r="A842" s="77"/>
      <c r="B842" s="78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7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</row>
    <row r="843" spans="1:33" x14ac:dyDescent="0.25">
      <c r="A843" s="77"/>
      <c r="B843" s="78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7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</row>
    <row r="844" spans="1:33" x14ac:dyDescent="0.25">
      <c r="A844" s="77"/>
      <c r="B844" s="78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7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</row>
    <row r="845" spans="1:33" x14ac:dyDescent="0.25">
      <c r="A845" s="77"/>
      <c r="B845" s="78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7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</row>
    <row r="846" spans="1:33" x14ac:dyDescent="0.25">
      <c r="A846" s="77"/>
      <c r="B846" s="78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7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</row>
    <row r="847" spans="1:33" x14ac:dyDescent="0.25">
      <c r="A847" s="77"/>
      <c r="B847" s="78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7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</row>
    <row r="848" spans="1:33" x14ac:dyDescent="0.25">
      <c r="A848" s="77"/>
      <c r="B848" s="78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7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</row>
    <row r="849" spans="1:33" x14ac:dyDescent="0.25">
      <c r="A849" s="77"/>
      <c r="B849" s="78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7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</row>
    <row r="850" spans="1:33" x14ac:dyDescent="0.25">
      <c r="A850" s="77"/>
      <c r="B850" s="78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7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</row>
    <row r="851" spans="1:33" x14ac:dyDescent="0.25">
      <c r="A851" s="77"/>
      <c r="B851" s="78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7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</row>
    <row r="852" spans="1:33" x14ac:dyDescent="0.25">
      <c r="A852" s="77"/>
      <c r="B852" s="78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7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</row>
    <row r="853" spans="1:33" x14ac:dyDescent="0.25">
      <c r="A853" s="77"/>
      <c r="B853" s="78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7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</row>
    <row r="854" spans="1:33" x14ac:dyDescent="0.25">
      <c r="A854" s="77"/>
      <c r="B854" s="78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7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</row>
    <row r="855" spans="1:33" x14ac:dyDescent="0.25">
      <c r="A855" s="77"/>
      <c r="B855" s="78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7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</row>
    <row r="856" spans="1:33" x14ac:dyDescent="0.25">
      <c r="A856" s="77"/>
      <c r="B856" s="78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7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</row>
    <row r="857" spans="1:33" x14ac:dyDescent="0.25">
      <c r="A857" s="77"/>
      <c r="B857" s="78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7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</row>
    <row r="858" spans="1:33" x14ac:dyDescent="0.25">
      <c r="A858" s="77"/>
      <c r="B858" s="78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7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</row>
    <row r="859" spans="1:33" x14ac:dyDescent="0.25">
      <c r="A859" s="77"/>
      <c r="B859" s="78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7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</row>
    <row r="860" spans="1:33" x14ac:dyDescent="0.25">
      <c r="A860" s="77"/>
      <c r="B860" s="78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7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</row>
    <row r="861" spans="1:33" x14ac:dyDescent="0.25">
      <c r="A861" s="77"/>
      <c r="B861" s="78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7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</row>
    <row r="862" spans="1:33" x14ac:dyDescent="0.25">
      <c r="A862" s="77"/>
      <c r="B862" s="78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7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</row>
    <row r="863" spans="1:33" x14ac:dyDescent="0.25">
      <c r="A863" s="77"/>
      <c r="B863" s="78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7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</row>
    <row r="864" spans="1:33" x14ac:dyDescent="0.25">
      <c r="A864" s="77"/>
      <c r="B864" s="78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7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</row>
    <row r="865" spans="1:33" x14ac:dyDescent="0.25">
      <c r="A865" s="77"/>
      <c r="B865" s="78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7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</row>
    <row r="866" spans="1:33" x14ac:dyDescent="0.25">
      <c r="A866" s="77"/>
      <c r="B866" s="78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7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</row>
    <row r="867" spans="1:33" x14ac:dyDescent="0.25">
      <c r="A867" s="77"/>
      <c r="B867" s="78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7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</row>
    <row r="868" spans="1:33" x14ac:dyDescent="0.25">
      <c r="A868" s="77"/>
      <c r="B868" s="78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7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</row>
    <row r="869" spans="1:33" x14ac:dyDescent="0.25">
      <c r="A869" s="77"/>
      <c r="B869" s="78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7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</row>
    <row r="870" spans="1:33" x14ac:dyDescent="0.25">
      <c r="A870" s="77"/>
      <c r="B870" s="78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7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</row>
    <row r="871" spans="1:33" x14ac:dyDescent="0.25">
      <c r="A871" s="77"/>
      <c r="B871" s="78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7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</row>
    <row r="872" spans="1:33" x14ac:dyDescent="0.25">
      <c r="A872" s="77"/>
      <c r="B872" s="78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7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</row>
    <row r="873" spans="1:33" x14ac:dyDescent="0.25">
      <c r="A873" s="77"/>
      <c r="B873" s="78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7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</row>
    <row r="874" spans="1:33" x14ac:dyDescent="0.25">
      <c r="A874" s="77"/>
      <c r="B874" s="78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7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</row>
    <row r="875" spans="1:33" x14ac:dyDescent="0.25">
      <c r="A875" s="77"/>
      <c r="B875" s="78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7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</row>
    <row r="876" spans="1:33" x14ac:dyDescent="0.25">
      <c r="A876" s="77"/>
      <c r="B876" s="78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7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</row>
    <row r="877" spans="1:33" x14ac:dyDescent="0.25">
      <c r="A877" s="77"/>
      <c r="B877" s="78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7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</row>
    <row r="878" spans="1:33" x14ac:dyDescent="0.25">
      <c r="A878" s="77"/>
      <c r="B878" s="78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7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</row>
    <row r="879" spans="1:33" x14ac:dyDescent="0.25">
      <c r="A879" s="77"/>
      <c r="B879" s="78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7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</row>
    <row r="880" spans="1:33" x14ac:dyDescent="0.25">
      <c r="A880" s="77"/>
      <c r="B880" s="78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7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</row>
    <row r="881" spans="1:33" x14ac:dyDescent="0.25">
      <c r="A881" s="77"/>
      <c r="B881" s="78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7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</row>
    <row r="882" spans="1:33" x14ac:dyDescent="0.25">
      <c r="A882" s="77"/>
      <c r="B882" s="78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7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</row>
    <row r="883" spans="1:33" x14ac:dyDescent="0.25">
      <c r="A883" s="77"/>
      <c r="B883" s="78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7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</row>
    <row r="884" spans="1:33" x14ac:dyDescent="0.25">
      <c r="A884" s="77"/>
      <c r="B884" s="78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7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</row>
    <row r="885" spans="1:33" x14ac:dyDescent="0.25">
      <c r="A885" s="77"/>
      <c r="B885" s="78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7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</row>
    <row r="886" spans="1:33" x14ac:dyDescent="0.25">
      <c r="A886" s="77"/>
      <c r="B886" s="78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7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</row>
    <row r="887" spans="1:33" x14ac:dyDescent="0.25">
      <c r="A887" s="77"/>
      <c r="B887" s="78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7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1:33" x14ac:dyDescent="0.25">
      <c r="A888" s="77"/>
      <c r="B888" s="78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7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</row>
    <row r="889" spans="1:33" x14ac:dyDescent="0.25">
      <c r="A889" s="77"/>
      <c r="B889" s="78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7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</row>
    <row r="890" spans="1:33" x14ac:dyDescent="0.25">
      <c r="A890" s="77"/>
      <c r="B890" s="78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7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</row>
    <row r="891" spans="1:33" x14ac:dyDescent="0.25">
      <c r="A891" s="77"/>
      <c r="B891" s="78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7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</row>
    <row r="892" spans="1:33" x14ac:dyDescent="0.25">
      <c r="A892" s="77"/>
      <c r="B892" s="78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7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</row>
    <row r="893" spans="1:33" x14ac:dyDescent="0.25">
      <c r="A893" s="77"/>
      <c r="B893" s="78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7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</row>
    <row r="894" spans="1:33" x14ac:dyDescent="0.25">
      <c r="A894" s="77"/>
      <c r="B894" s="78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7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</row>
    <row r="895" spans="1:33" x14ac:dyDescent="0.25">
      <c r="A895" s="77"/>
      <c r="B895" s="78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7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</row>
    <row r="896" spans="1:33" x14ac:dyDescent="0.25">
      <c r="A896" s="77"/>
      <c r="B896" s="78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7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</row>
    <row r="897" spans="1:33" x14ac:dyDescent="0.25">
      <c r="A897" s="77"/>
      <c r="B897" s="78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7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</row>
    <row r="898" spans="1:33" x14ac:dyDescent="0.25">
      <c r="A898" s="77"/>
      <c r="B898" s="78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7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</row>
    <row r="899" spans="1:33" x14ac:dyDescent="0.25">
      <c r="A899" s="77"/>
      <c r="B899" s="78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7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</row>
    <row r="900" spans="1:33" x14ac:dyDescent="0.25">
      <c r="A900" s="77"/>
      <c r="B900" s="78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7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</row>
    <row r="901" spans="1:33" x14ac:dyDescent="0.25">
      <c r="A901" s="77"/>
      <c r="B901" s="78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7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</row>
    <row r="902" spans="1:33" x14ac:dyDescent="0.25">
      <c r="A902" s="77"/>
      <c r="B902" s="78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7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</row>
    <row r="903" spans="1:33" x14ac:dyDescent="0.25">
      <c r="A903" s="77"/>
      <c r="B903" s="78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7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</row>
    <row r="904" spans="1:33" x14ac:dyDescent="0.25">
      <c r="A904" s="77"/>
      <c r="B904" s="78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7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</row>
    <row r="905" spans="1:33" x14ac:dyDescent="0.25">
      <c r="A905" s="77"/>
      <c r="B905" s="78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7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</row>
    <row r="906" spans="1:33" x14ac:dyDescent="0.25">
      <c r="A906" s="77"/>
      <c r="B906" s="78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7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</row>
    <row r="907" spans="1:33" x14ac:dyDescent="0.25">
      <c r="A907" s="77"/>
      <c r="B907" s="78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7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</row>
    <row r="908" spans="1:33" x14ac:dyDescent="0.25">
      <c r="A908" s="77"/>
      <c r="B908" s="78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7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</row>
    <row r="909" spans="1:33" x14ac:dyDescent="0.25">
      <c r="A909" s="77"/>
      <c r="B909" s="78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7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</row>
    <row r="910" spans="1:33" x14ac:dyDescent="0.25">
      <c r="A910" s="77"/>
      <c r="B910" s="78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7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</row>
    <row r="911" spans="1:33" x14ac:dyDescent="0.25">
      <c r="A911" s="77"/>
      <c r="B911" s="78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7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</row>
    <row r="912" spans="1:33" x14ac:dyDescent="0.25">
      <c r="A912" s="77"/>
      <c r="B912" s="78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7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</row>
    <row r="913" spans="1:33" x14ac:dyDescent="0.25">
      <c r="A913" s="77"/>
      <c r="B913" s="78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7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</row>
    <row r="914" spans="1:33" x14ac:dyDescent="0.25">
      <c r="A914" s="77"/>
      <c r="B914" s="78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7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</row>
    <row r="915" spans="1:33" x14ac:dyDescent="0.25">
      <c r="A915" s="77"/>
      <c r="B915" s="78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7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</row>
    <row r="916" spans="1:33" x14ac:dyDescent="0.25">
      <c r="A916" s="77"/>
      <c r="B916" s="78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7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</row>
    <row r="917" spans="1:33" x14ac:dyDescent="0.25">
      <c r="A917" s="77"/>
      <c r="B917" s="78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7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</row>
    <row r="918" spans="1:33" x14ac:dyDescent="0.25">
      <c r="A918" s="77"/>
      <c r="B918" s="78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7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</row>
    <row r="919" spans="1:33" x14ac:dyDescent="0.25">
      <c r="A919" s="77"/>
      <c r="B919" s="78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7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</row>
    <row r="920" spans="1:33" x14ac:dyDescent="0.25">
      <c r="A920" s="77"/>
      <c r="B920" s="78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7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</row>
    <row r="921" spans="1:33" x14ac:dyDescent="0.25">
      <c r="A921" s="77"/>
      <c r="B921" s="78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7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</row>
    <row r="922" spans="1:33" x14ac:dyDescent="0.25">
      <c r="A922" s="77"/>
      <c r="B922" s="78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7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</row>
    <row r="923" spans="1:33" x14ac:dyDescent="0.25">
      <c r="A923" s="77"/>
      <c r="B923" s="78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7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</row>
    <row r="924" spans="1:33" x14ac:dyDescent="0.25">
      <c r="A924" s="77"/>
      <c r="B924" s="78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7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</row>
    <row r="925" spans="1:33" x14ac:dyDescent="0.25">
      <c r="A925" s="77"/>
      <c r="B925" s="78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7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</row>
    <row r="926" spans="1:33" x14ac:dyDescent="0.25">
      <c r="A926" s="77"/>
      <c r="B926" s="78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7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</row>
    <row r="927" spans="1:33" x14ac:dyDescent="0.25">
      <c r="A927" s="77"/>
      <c r="B927" s="78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7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</row>
    <row r="928" spans="1:33" x14ac:dyDescent="0.25">
      <c r="A928" s="77"/>
      <c r="B928" s="78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7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</row>
    <row r="929" spans="1:33" x14ac:dyDescent="0.25">
      <c r="A929" s="77"/>
      <c r="B929" s="78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7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</row>
    <row r="930" spans="1:33" x14ac:dyDescent="0.25">
      <c r="A930" s="77"/>
      <c r="B930" s="78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7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</row>
    <row r="931" spans="1:33" x14ac:dyDescent="0.25">
      <c r="A931" s="77"/>
      <c r="B931" s="78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7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</row>
    <row r="932" spans="1:33" x14ac:dyDescent="0.25">
      <c r="A932" s="77"/>
      <c r="B932" s="78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7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</row>
    <row r="933" spans="1:33" x14ac:dyDescent="0.25">
      <c r="A933" s="77"/>
      <c r="B933" s="78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7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</row>
    <row r="934" spans="1:33" x14ac:dyDescent="0.25">
      <c r="A934" s="77"/>
      <c r="B934" s="78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7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</row>
    <row r="935" spans="1:33" x14ac:dyDescent="0.25">
      <c r="A935" s="77"/>
      <c r="B935" s="78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7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</row>
    <row r="936" spans="1:33" x14ac:dyDescent="0.25">
      <c r="A936" s="77"/>
      <c r="B936" s="78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7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</row>
    <row r="937" spans="1:33" x14ac:dyDescent="0.25">
      <c r="A937" s="77"/>
      <c r="B937" s="78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7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</row>
    <row r="938" spans="1:33" x14ac:dyDescent="0.25">
      <c r="A938" s="77"/>
      <c r="B938" s="78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7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</row>
    <row r="939" spans="1:33" x14ac:dyDescent="0.25">
      <c r="A939" s="77"/>
      <c r="B939" s="78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7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</row>
    <row r="940" spans="1:33" x14ac:dyDescent="0.25">
      <c r="A940" s="77"/>
      <c r="B940" s="78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7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</row>
    <row r="941" spans="1:33" x14ac:dyDescent="0.25">
      <c r="A941" s="77"/>
      <c r="B941" s="78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7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</row>
    <row r="942" spans="1:33" x14ac:dyDescent="0.25">
      <c r="A942" s="77"/>
      <c r="B942" s="78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7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</row>
    <row r="943" spans="1:33" x14ac:dyDescent="0.25">
      <c r="A943" s="77"/>
      <c r="B943" s="78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7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</row>
    <row r="944" spans="1:33" x14ac:dyDescent="0.25">
      <c r="A944" s="77"/>
      <c r="B944" s="78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7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</row>
    <row r="945" spans="1:33" x14ac:dyDescent="0.25">
      <c r="A945" s="77"/>
      <c r="B945" s="78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7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</row>
    <row r="946" spans="1:33" x14ac:dyDescent="0.25">
      <c r="A946" s="77"/>
      <c r="B946" s="78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7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</row>
    <row r="947" spans="1:33" x14ac:dyDescent="0.25">
      <c r="A947" s="77"/>
      <c r="B947" s="78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7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</row>
    <row r="948" spans="1:33" x14ac:dyDescent="0.25">
      <c r="A948" s="77"/>
      <c r="B948" s="78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7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</row>
    <row r="949" spans="1:33" x14ac:dyDescent="0.25">
      <c r="A949" s="77"/>
      <c r="B949" s="78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7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</row>
    <row r="950" spans="1:33" x14ac:dyDescent="0.25">
      <c r="A950" s="77"/>
      <c r="B950" s="78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7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</row>
    <row r="951" spans="1:33" x14ac:dyDescent="0.25">
      <c r="A951" s="77"/>
      <c r="B951" s="78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7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</row>
    <row r="952" spans="1:33" x14ac:dyDescent="0.25">
      <c r="A952" s="77"/>
      <c r="B952" s="78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7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</row>
    <row r="953" spans="1:33" x14ac:dyDescent="0.25">
      <c r="A953" s="77"/>
      <c r="B953" s="78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7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</row>
    <row r="954" spans="1:33" x14ac:dyDescent="0.25">
      <c r="A954" s="77"/>
      <c r="B954" s="78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7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</row>
    <row r="955" spans="1:33" x14ac:dyDescent="0.25">
      <c r="A955" s="77"/>
      <c r="B955" s="78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7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</row>
    <row r="956" spans="1:33" x14ac:dyDescent="0.25">
      <c r="A956" s="77"/>
      <c r="B956" s="78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7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</row>
    <row r="957" spans="1:33" x14ac:dyDescent="0.25">
      <c r="A957" s="77"/>
      <c r="B957" s="78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7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</row>
    <row r="958" spans="1:33" x14ac:dyDescent="0.25">
      <c r="A958" s="77"/>
      <c r="B958" s="78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7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</row>
    <row r="959" spans="1:33" x14ac:dyDescent="0.25">
      <c r="A959" s="77"/>
      <c r="B959" s="78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7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</row>
    <row r="960" spans="1:33" x14ac:dyDescent="0.25">
      <c r="A960" s="77"/>
      <c r="B960" s="78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7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</row>
    <row r="961" spans="1:33" x14ac:dyDescent="0.25">
      <c r="A961" s="77"/>
      <c r="B961" s="78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7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</row>
    <row r="962" spans="1:33" x14ac:dyDescent="0.25">
      <c r="A962" s="77"/>
      <c r="B962" s="78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7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</row>
    <row r="963" spans="1:33" x14ac:dyDescent="0.25">
      <c r="A963" s="77"/>
      <c r="B963" s="78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7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</row>
    <row r="964" spans="1:33" x14ac:dyDescent="0.25">
      <c r="A964" s="77"/>
      <c r="B964" s="78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7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</row>
    <row r="965" spans="1:33" x14ac:dyDescent="0.25">
      <c r="A965" s="77"/>
      <c r="B965" s="78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7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</row>
    <row r="966" spans="1:33" x14ac:dyDescent="0.25">
      <c r="A966" s="77"/>
      <c r="B966" s="78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7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</row>
    <row r="967" spans="1:33" x14ac:dyDescent="0.25">
      <c r="A967" s="77"/>
      <c r="B967" s="78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7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</row>
    <row r="968" spans="1:33" x14ac:dyDescent="0.25">
      <c r="A968" s="77"/>
      <c r="B968" s="78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7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</row>
    <row r="969" spans="1:33" x14ac:dyDescent="0.25">
      <c r="A969" s="77"/>
      <c r="B969" s="78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7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</row>
    <row r="970" spans="1:33" x14ac:dyDescent="0.25">
      <c r="A970" s="77"/>
      <c r="B970" s="78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7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</row>
    <row r="971" spans="1:33" x14ac:dyDescent="0.25">
      <c r="A971" s="77"/>
      <c r="B971" s="78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7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</row>
    <row r="972" spans="1:33" x14ac:dyDescent="0.25">
      <c r="A972" s="77"/>
      <c r="B972" s="78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7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</row>
    <row r="973" spans="1:33" x14ac:dyDescent="0.25">
      <c r="A973" s="77"/>
      <c r="B973" s="78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7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</row>
    <row r="974" spans="1:33" x14ac:dyDescent="0.25">
      <c r="A974" s="77"/>
      <c r="B974" s="78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7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</row>
    <row r="975" spans="1:33" x14ac:dyDescent="0.25">
      <c r="A975" s="77"/>
      <c r="B975" s="78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7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</row>
    <row r="976" spans="1:33" x14ac:dyDescent="0.25">
      <c r="A976" s="77"/>
      <c r="B976" s="78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7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</row>
    <row r="977" spans="1:33" x14ac:dyDescent="0.25">
      <c r="A977" s="77"/>
      <c r="B977" s="78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7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</row>
    <row r="978" spans="1:33" x14ac:dyDescent="0.25">
      <c r="A978" s="77"/>
      <c r="B978" s="78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7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</row>
    <row r="979" spans="1:33" x14ac:dyDescent="0.25">
      <c r="A979" s="77"/>
      <c r="B979" s="78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7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</row>
    <row r="980" spans="1:33" x14ac:dyDescent="0.25">
      <c r="A980" s="77"/>
      <c r="B980" s="78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7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</row>
    <row r="981" spans="1:33" x14ac:dyDescent="0.25">
      <c r="A981" s="77"/>
      <c r="B981" s="78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7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</row>
    <row r="982" spans="1:33" x14ac:dyDescent="0.25">
      <c r="A982" s="77"/>
      <c r="B982" s="78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7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</row>
    <row r="983" spans="1:33" x14ac:dyDescent="0.25">
      <c r="A983" s="77"/>
      <c r="B983" s="78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7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</row>
    <row r="984" spans="1:33" x14ac:dyDescent="0.25">
      <c r="A984" s="77"/>
      <c r="B984" s="78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7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</row>
    <row r="985" spans="1:33" x14ac:dyDescent="0.25">
      <c r="A985" s="77"/>
      <c r="B985" s="78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7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</row>
    <row r="986" spans="1:33" x14ac:dyDescent="0.25">
      <c r="A986" s="77"/>
      <c r="B986" s="78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7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</row>
    <row r="987" spans="1:33" x14ac:dyDescent="0.25">
      <c r="A987" s="77"/>
      <c r="B987" s="78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7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</row>
    <row r="988" spans="1:33" x14ac:dyDescent="0.25">
      <c r="A988" s="77"/>
      <c r="B988" s="78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7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</row>
    <row r="989" spans="1:33" x14ac:dyDescent="0.25">
      <c r="A989" s="77"/>
      <c r="B989" s="78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7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</row>
    <row r="990" spans="1:33" x14ac:dyDescent="0.25">
      <c r="A990" s="77"/>
      <c r="B990" s="78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7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</row>
    <row r="991" spans="1:33" x14ac:dyDescent="0.25">
      <c r="A991" s="77"/>
      <c r="B991" s="78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7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</row>
    <row r="992" spans="1:33" x14ac:dyDescent="0.25">
      <c r="A992" s="77"/>
      <c r="B992" s="78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7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</row>
    <row r="993" spans="1:33" x14ac:dyDescent="0.25">
      <c r="A993" s="77"/>
      <c r="B993" s="78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7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</row>
    <row r="994" spans="1:33" x14ac:dyDescent="0.25">
      <c r="A994" s="77"/>
      <c r="B994" s="78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7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</row>
    <row r="995" spans="1:33" x14ac:dyDescent="0.25">
      <c r="A995" s="77"/>
      <c r="B995" s="78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7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</row>
    <row r="996" spans="1:33" x14ac:dyDescent="0.25">
      <c r="A996" s="77"/>
      <c r="B996" s="78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7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</row>
    <row r="997" spans="1:33" x14ac:dyDescent="0.25">
      <c r="A997" s="77"/>
      <c r="B997" s="78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7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</row>
    <row r="998" spans="1:33" x14ac:dyDescent="0.25">
      <c r="A998" s="77"/>
      <c r="B998" s="78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7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</row>
    <row r="999" spans="1:33" x14ac:dyDescent="0.25">
      <c r="A999" s="77"/>
      <c r="B999" s="78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7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</row>
    <row r="1000" spans="1:33" x14ac:dyDescent="0.25">
      <c r="A1000" s="77"/>
      <c r="B1000" s="78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7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</row>
    <row r="1001" spans="1:33" x14ac:dyDescent="0.25">
      <c r="A1001" s="77"/>
      <c r="B1001" s="78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7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</row>
    <row r="1002" spans="1:33" x14ac:dyDescent="0.25">
      <c r="A1002" s="77"/>
      <c r="B1002" s="78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7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</row>
    <row r="1003" spans="1:33" x14ac:dyDescent="0.25">
      <c r="A1003" s="77"/>
      <c r="B1003" s="78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7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</row>
    <row r="1004" spans="1:33" x14ac:dyDescent="0.25">
      <c r="A1004" s="77"/>
      <c r="B1004" s="78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7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</row>
    <row r="1005" spans="1:33" x14ac:dyDescent="0.25">
      <c r="A1005" s="77"/>
      <c r="B1005" s="78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7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  <c r="AD1005" s="80"/>
      <c r="AE1005" s="80"/>
      <c r="AF1005" s="80"/>
      <c r="AG1005" s="80"/>
    </row>
    <row r="1006" spans="1:33" x14ac:dyDescent="0.25">
      <c r="A1006" s="77"/>
      <c r="B1006" s="78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7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</row>
    <row r="1007" spans="1:33" x14ac:dyDescent="0.25">
      <c r="A1007" s="77"/>
      <c r="B1007" s="78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7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80"/>
      <c r="AD1007" s="80"/>
      <c r="AE1007" s="80"/>
      <c r="AF1007" s="80"/>
      <c r="AG1007" s="80"/>
    </row>
    <row r="1008" spans="1:33" x14ac:dyDescent="0.25">
      <c r="A1008" s="77"/>
      <c r="B1008" s="78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7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</row>
    <row r="1009" spans="1:33" x14ac:dyDescent="0.25">
      <c r="A1009" s="77"/>
      <c r="B1009" s="78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7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  <c r="AA1009" s="80"/>
      <c r="AB1009" s="80"/>
      <c r="AC1009" s="80"/>
      <c r="AD1009" s="80"/>
      <c r="AE1009" s="80"/>
      <c r="AF1009" s="80"/>
      <c r="AG1009" s="80"/>
    </row>
    <row r="1010" spans="1:33" x14ac:dyDescent="0.25">
      <c r="A1010" s="77"/>
      <c r="B1010" s="78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7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/>
      <c r="AC1010" s="80"/>
      <c r="AD1010" s="80"/>
      <c r="AE1010" s="80"/>
      <c r="AF1010" s="80"/>
      <c r="AG1010" s="80"/>
    </row>
    <row r="1011" spans="1:33" x14ac:dyDescent="0.25">
      <c r="A1011" s="77"/>
      <c r="B1011" s="78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7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</row>
    <row r="1012" spans="1:33" x14ac:dyDescent="0.25">
      <c r="A1012" s="77"/>
      <c r="B1012" s="78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7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  <c r="AA1012" s="80"/>
      <c r="AB1012" s="80"/>
      <c r="AC1012" s="80"/>
      <c r="AD1012" s="80"/>
      <c r="AE1012" s="80"/>
      <c r="AF1012" s="80"/>
      <c r="AG1012" s="80"/>
    </row>
    <row r="1013" spans="1:33" x14ac:dyDescent="0.25">
      <c r="A1013" s="77"/>
      <c r="B1013" s="78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7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  <c r="AA1013" s="80"/>
      <c r="AB1013" s="80"/>
      <c r="AC1013" s="80"/>
      <c r="AD1013" s="80"/>
      <c r="AE1013" s="80"/>
      <c r="AF1013" s="80"/>
      <c r="AG1013" s="80"/>
    </row>
    <row r="1014" spans="1:33" x14ac:dyDescent="0.25">
      <c r="A1014" s="77"/>
      <c r="B1014" s="78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7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80"/>
      <c r="AD1014" s="80"/>
      <c r="AE1014" s="80"/>
      <c r="AF1014" s="80"/>
      <c r="AG1014" s="80"/>
    </row>
    <row r="1015" spans="1:33" x14ac:dyDescent="0.25">
      <c r="A1015" s="77"/>
      <c r="B1015" s="78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7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80"/>
      <c r="AD1015" s="80"/>
      <c r="AE1015" s="80"/>
      <c r="AF1015" s="80"/>
      <c r="AG1015" s="80"/>
    </row>
    <row r="1016" spans="1:33" x14ac:dyDescent="0.25">
      <c r="A1016" s="77"/>
      <c r="B1016" s="78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7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80"/>
      <c r="AD1016" s="80"/>
      <c r="AE1016" s="80"/>
      <c r="AF1016" s="80"/>
      <c r="AG1016" s="80"/>
    </row>
    <row r="1017" spans="1:33" x14ac:dyDescent="0.25">
      <c r="A1017" s="77"/>
      <c r="B1017" s="78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7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  <c r="AA1017" s="80"/>
      <c r="AB1017" s="80"/>
      <c r="AC1017" s="80"/>
      <c r="AD1017" s="80"/>
      <c r="AE1017" s="80"/>
      <c r="AF1017" s="80"/>
      <c r="AG1017" s="80"/>
    </row>
    <row r="1018" spans="1:33" x14ac:dyDescent="0.25">
      <c r="A1018" s="77"/>
      <c r="B1018" s="78"/>
      <c r="C1018" s="79"/>
      <c r="D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7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80"/>
      <c r="AE1018" s="80"/>
      <c r="AF1018" s="80"/>
      <c r="AG1018" s="80"/>
    </row>
    <row r="1019" spans="1:33" x14ac:dyDescent="0.25">
      <c r="A1019" s="77"/>
      <c r="B1019" s="78"/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77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80"/>
      <c r="AE1019" s="80"/>
      <c r="AF1019" s="80"/>
      <c r="AG1019" s="80"/>
    </row>
    <row r="1020" spans="1:33" x14ac:dyDescent="0.25">
      <c r="A1020" s="77"/>
      <c r="B1020" s="78"/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77"/>
      <c r="P1020" s="80"/>
      <c r="Q1020" s="80"/>
      <c r="R1020" s="80"/>
      <c r="S1020" s="80"/>
      <c r="T1020" s="80"/>
      <c r="U1020" s="80"/>
      <c r="V1020" s="80"/>
      <c r="W1020" s="80"/>
      <c r="X1020" s="80"/>
      <c r="Y1020" s="80"/>
      <c r="Z1020" s="80"/>
      <c r="AA1020" s="80"/>
      <c r="AB1020" s="80"/>
      <c r="AC1020" s="80"/>
      <c r="AD1020" s="80"/>
      <c r="AE1020" s="80"/>
      <c r="AF1020" s="80"/>
      <c r="AG1020" s="80"/>
    </row>
    <row r="1021" spans="1:33" x14ac:dyDescent="0.25">
      <c r="A1021" s="77"/>
      <c r="B1021" s="78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77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80"/>
      <c r="AD1021" s="80"/>
      <c r="AE1021" s="80"/>
      <c r="AF1021" s="80"/>
      <c r="AG1021" s="80"/>
    </row>
    <row r="1022" spans="1:33" x14ac:dyDescent="0.25">
      <c r="A1022" s="77"/>
      <c r="B1022" s="78"/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77"/>
      <c r="P1022" s="80"/>
      <c r="Q1022" s="80"/>
      <c r="R1022" s="80"/>
      <c r="S1022" s="80"/>
      <c r="T1022" s="80"/>
      <c r="U1022" s="80"/>
      <c r="V1022" s="80"/>
      <c r="W1022" s="80"/>
      <c r="X1022" s="80"/>
      <c r="Y1022" s="80"/>
      <c r="Z1022" s="80"/>
      <c r="AA1022" s="80"/>
      <c r="AB1022" s="80"/>
      <c r="AC1022" s="80"/>
      <c r="AD1022" s="80"/>
      <c r="AE1022" s="80"/>
      <c r="AF1022" s="80"/>
      <c r="AG1022" s="80"/>
    </row>
    <row r="1023" spans="1:33" x14ac:dyDescent="0.25">
      <c r="A1023" s="77"/>
      <c r="B1023" s="78"/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77"/>
      <c r="P1023" s="80"/>
      <c r="Q1023" s="80"/>
      <c r="R1023" s="80"/>
      <c r="S1023" s="80"/>
      <c r="T1023" s="80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80"/>
      <c r="AE1023" s="80"/>
      <c r="AF1023" s="80"/>
      <c r="AG1023" s="80"/>
    </row>
    <row r="1024" spans="1:33" x14ac:dyDescent="0.25">
      <c r="A1024" s="77"/>
      <c r="B1024" s="78"/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77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80"/>
      <c r="AE1024" s="80"/>
      <c r="AF1024" s="80"/>
      <c r="AG1024" s="80"/>
    </row>
    <row r="1025" spans="1:33" x14ac:dyDescent="0.25">
      <c r="A1025" s="77"/>
      <c r="B1025" s="78"/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77"/>
      <c r="P1025" s="80"/>
      <c r="Q1025" s="80"/>
      <c r="R1025" s="80"/>
      <c r="S1025" s="80"/>
      <c r="T1025" s="80"/>
      <c r="U1025" s="80"/>
      <c r="V1025" s="80"/>
      <c r="W1025" s="80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</row>
    <row r="1026" spans="1:33" x14ac:dyDescent="0.25">
      <c r="A1026" s="77"/>
      <c r="B1026" s="78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77"/>
      <c r="P1026" s="80"/>
      <c r="Q1026" s="80"/>
      <c r="R1026" s="80"/>
      <c r="S1026" s="80"/>
      <c r="T1026" s="80"/>
      <c r="U1026" s="80"/>
      <c r="V1026" s="80"/>
      <c r="W1026" s="80"/>
      <c r="X1026" s="80"/>
      <c r="Y1026" s="80"/>
      <c r="Z1026" s="80"/>
      <c r="AA1026" s="80"/>
      <c r="AB1026" s="80"/>
      <c r="AC1026" s="80"/>
      <c r="AD1026" s="80"/>
      <c r="AE1026" s="80"/>
      <c r="AF1026" s="80"/>
      <c r="AG1026" s="80"/>
    </row>
    <row r="1027" spans="1:33" x14ac:dyDescent="0.25">
      <c r="A1027" s="77"/>
      <c r="B1027" s="78"/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77"/>
      <c r="P1027" s="80"/>
      <c r="Q1027" s="80"/>
      <c r="R1027" s="80"/>
      <c r="S1027" s="80"/>
      <c r="T1027" s="80"/>
      <c r="U1027" s="80"/>
      <c r="V1027" s="80"/>
      <c r="W1027" s="80"/>
      <c r="X1027" s="80"/>
      <c r="Y1027" s="80"/>
      <c r="Z1027" s="80"/>
      <c r="AA1027" s="80"/>
      <c r="AB1027" s="80"/>
      <c r="AC1027" s="80"/>
      <c r="AD1027" s="80"/>
      <c r="AE1027" s="80"/>
      <c r="AF1027" s="80"/>
      <c r="AG1027" s="80"/>
    </row>
    <row r="1028" spans="1:33" x14ac:dyDescent="0.25">
      <c r="A1028" s="77"/>
      <c r="B1028" s="78"/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77"/>
      <c r="P1028" s="80"/>
      <c r="Q1028" s="80"/>
      <c r="R1028" s="80"/>
      <c r="S1028" s="80"/>
      <c r="T1028" s="80"/>
      <c r="U1028" s="80"/>
      <c r="V1028" s="80"/>
      <c r="W1028" s="80"/>
      <c r="X1028" s="80"/>
      <c r="Y1028" s="80"/>
      <c r="Z1028" s="80"/>
      <c r="AA1028" s="80"/>
      <c r="AB1028" s="80"/>
      <c r="AC1028" s="80"/>
      <c r="AD1028" s="80"/>
      <c r="AE1028" s="80"/>
      <c r="AF1028" s="80"/>
      <c r="AG1028" s="80"/>
    </row>
    <row r="1029" spans="1:33" x14ac:dyDescent="0.25">
      <c r="A1029" s="77"/>
      <c r="B1029" s="78"/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77"/>
      <c r="P1029" s="80"/>
      <c r="Q1029" s="80"/>
      <c r="R1029" s="80"/>
      <c r="S1029" s="80"/>
      <c r="T1029" s="80"/>
      <c r="U1029" s="80"/>
      <c r="V1029" s="80"/>
      <c r="W1029" s="80"/>
      <c r="X1029" s="80"/>
      <c r="Y1029" s="80"/>
      <c r="Z1029" s="80"/>
      <c r="AA1029" s="80"/>
      <c r="AB1029" s="80"/>
      <c r="AC1029" s="80"/>
      <c r="AD1029" s="80"/>
      <c r="AE1029" s="80"/>
      <c r="AF1029" s="80"/>
      <c r="AG1029" s="80"/>
    </row>
    <row r="1030" spans="1:33" x14ac:dyDescent="0.25">
      <c r="A1030" s="77"/>
      <c r="B1030" s="78"/>
      <c r="C1030" s="79"/>
      <c r="D1030" s="79"/>
      <c r="E1030" s="79"/>
      <c r="F1030" s="79"/>
      <c r="G1030" s="79"/>
      <c r="H1030" s="79"/>
      <c r="I1030" s="79"/>
      <c r="J1030" s="79"/>
      <c r="K1030" s="79"/>
      <c r="L1030" s="79"/>
      <c r="M1030" s="79"/>
      <c r="N1030" s="79"/>
      <c r="O1030" s="77"/>
      <c r="P1030" s="80"/>
      <c r="Q1030" s="80"/>
      <c r="R1030" s="80"/>
      <c r="S1030" s="80"/>
      <c r="T1030" s="80"/>
      <c r="U1030" s="80"/>
      <c r="V1030" s="80"/>
      <c r="W1030" s="80"/>
      <c r="X1030" s="80"/>
      <c r="Y1030" s="80"/>
      <c r="Z1030" s="80"/>
      <c r="AA1030" s="80"/>
      <c r="AB1030" s="80"/>
      <c r="AC1030" s="80"/>
      <c r="AD1030" s="80"/>
      <c r="AE1030" s="80"/>
      <c r="AF1030" s="80"/>
      <c r="AG1030" s="80"/>
    </row>
    <row r="1031" spans="1:33" x14ac:dyDescent="0.25">
      <c r="A1031" s="77"/>
      <c r="B1031" s="78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77"/>
      <c r="P1031" s="80"/>
      <c r="Q1031" s="80"/>
      <c r="R1031" s="80"/>
      <c r="S1031" s="80"/>
      <c r="T1031" s="80"/>
      <c r="U1031" s="80"/>
      <c r="V1031" s="80"/>
      <c r="W1031" s="80"/>
      <c r="X1031" s="80"/>
      <c r="Y1031" s="80"/>
      <c r="Z1031" s="80"/>
      <c r="AA1031" s="80"/>
      <c r="AB1031" s="80"/>
      <c r="AC1031" s="80"/>
      <c r="AD1031" s="80"/>
      <c r="AE1031" s="80"/>
      <c r="AF1031" s="80"/>
      <c r="AG1031" s="80"/>
    </row>
    <row r="1032" spans="1:33" x14ac:dyDescent="0.25">
      <c r="A1032" s="77"/>
      <c r="B1032" s="78"/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77"/>
      <c r="P1032" s="80"/>
      <c r="Q1032" s="80"/>
      <c r="R1032" s="80"/>
      <c r="S1032" s="80"/>
      <c r="T1032" s="80"/>
      <c r="U1032" s="80"/>
      <c r="V1032" s="80"/>
      <c r="W1032" s="80"/>
      <c r="X1032" s="80"/>
      <c r="Y1032" s="80"/>
      <c r="Z1032" s="80"/>
      <c r="AA1032" s="80"/>
      <c r="AB1032" s="80"/>
      <c r="AC1032" s="80"/>
      <c r="AD1032" s="80"/>
      <c r="AE1032" s="80"/>
      <c r="AF1032" s="80"/>
      <c r="AG1032" s="80"/>
    </row>
    <row r="1033" spans="1:33" x14ac:dyDescent="0.25">
      <c r="A1033" s="77"/>
      <c r="B1033" s="78"/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77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80"/>
      <c r="AD1033" s="80"/>
      <c r="AE1033" s="80"/>
      <c r="AF1033" s="80"/>
      <c r="AG1033" s="80"/>
    </row>
    <row r="1034" spans="1:33" x14ac:dyDescent="0.25">
      <c r="A1034" s="77"/>
      <c r="B1034" s="78"/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77"/>
      <c r="P1034" s="80"/>
      <c r="Q1034" s="80"/>
      <c r="R1034" s="80"/>
      <c r="S1034" s="80"/>
      <c r="T1034" s="80"/>
      <c r="U1034" s="80"/>
      <c r="V1034" s="80"/>
      <c r="W1034" s="80"/>
      <c r="X1034" s="80"/>
      <c r="Y1034" s="80"/>
      <c r="Z1034" s="80"/>
      <c r="AA1034" s="80"/>
      <c r="AB1034" s="80"/>
      <c r="AC1034" s="80"/>
      <c r="AD1034" s="80"/>
      <c r="AE1034" s="80"/>
      <c r="AF1034" s="80"/>
      <c r="AG1034" s="80"/>
    </row>
    <row r="1035" spans="1:33" x14ac:dyDescent="0.25">
      <c r="A1035" s="77"/>
      <c r="B1035" s="78"/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77"/>
      <c r="P1035" s="80"/>
      <c r="Q1035" s="80"/>
      <c r="R1035" s="80"/>
      <c r="S1035" s="80"/>
      <c r="T1035" s="80"/>
      <c r="U1035" s="80"/>
      <c r="V1035" s="80"/>
      <c r="W1035" s="80"/>
      <c r="X1035" s="80"/>
      <c r="Y1035" s="80"/>
      <c r="Z1035" s="80"/>
      <c r="AA1035" s="80"/>
      <c r="AB1035" s="80"/>
      <c r="AC1035" s="80"/>
      <c r="AD1035" s="80"/>
      <c r="AE1035" s="80"/>
      <c r="AF1035" s="80"/>
      <c r="AG1035" s="80"/>
    </row>
    <row r="1036" spans="1:33" x14ac:dyDescent="0.25">
      <c r="A1036" s="77"/>
      <c r="B1036" s="78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77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/>
      <c r="AC1036" s="80"/>
      <c r="AD1036" s="80"/>
      <c r="AE1036" s="80"/>
      <c r="AF1036" s="80"/>
      <c r="AG1036" s="80"/>
    </row>
    <row r="1037" spans="1:33" x14ac:dyDescent="0.25">
      <c r="A1037" s="77"/>
      <c r="B1037" s="78"/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77"/>
      <c r="P1037" s="80"/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80"/>
      <c r="AD1037" s="80"/>
      <c r="AE1037" s="80"/>
      <c r="AF1037" s="80"/>
      <c r="AG1037" s="80"/>
    </row>
    <row r="1038" spans="1:33" x14ac:dyDescent="0.25">
      <c r="A1038" s="77"/>
      <c r="B1038" s="78"/>
      <c r="C1038" s="79"/>
      <c r="D1038" s="79"/>
      <c r="E1038" s="79"/>
      <c r="F1038" s="79"/>
      <c r="G1038" s="79"/>
      <c r="H1038" s="79"/>
      <c r="I1038" s="79"/>
      <c r="J1038" s="79"/>
      <c r="K1038" s="79"/>
      <c r="L1038" s="79"/>
      <c r="M1038" s="79"/>
      <c r="N1038" s="79"/>
      <c r="O1038" s="77"/>
      <c r="P1038" s="80"/>
      <c r="Q1038" s="80"/>
      <c r="R1038" s="80"/>
      <c r="S1038" s="80"/>
      <c r="T1038" s="80"/>
      <c r="U1038" s="80"/>
      <c r="V1038" s="80"/>
      <c r="W1038" s="80"/>
      <c r="X1038" s="80"/>
      <c r="Y1038" s="80"/>
      <c r="Z1038" s="80"/>
      <c r="AA1038" s="80"/>
      <c r="AB1038" s="80"/>
      <c r="AC1038" s="80"/>
      <c r="AD1038" s="80"/>
      <c r="AE1038" s="80"/>
      <c r="AF1038" s="80"/>
      <c r="AG1038" s="80"/>
    </row>
    <row r="1039" spans="1:33" x14ac:dyDescent="0.25">
      <c r="A1039" s="77"/>
      <c r="B1039" s="78"/>
      <c r="C1039" s="79"/>
      <c r="D1039" s="79"/>
      <c r="E1039" s="79"/>
      <c r="F1039" s="79"/>
      <c r="G1039" s="79"/>
      <c r="H1039" s="79"/>
      <c r="I1039" s="79"/>
      <c r="J1039" s="79"/>
      <c r="K1039" s="79"/>
      <c r="L1039" s="79"/>
      <c r="M1039" s="79"/>
      <c r="N1039" s="79"/>
      <c r="O1039" s="77"/>
      <c r="P1039" s="80"/>
      <c r="Q1039" s="80"/>
      <c r="R1039" s="80"/>
      <c r="S1039" s="80"/>
      <c r="T1039" s="80"/>
      <c r="U1039" s="80"/>
      <c r="V1039" s="80"/>
      <c r="W1039" s="80"/>
      <c r="X1039" s="80"/>
      <c r="Y1039" s="80"/>
      <c r="Z1039" s="80"/>
      <c r="AA1039" s="80"/>
      <c r="AB1039" s="80"/>
      <c r="AC1039" s="80"/>
      <c r="AD1039" s="80"/>
      <c r="AE1039" s="80"/>
      <c r="AF1039" s="80"/>
      <c r="AG1039" s="80"/>
    </row>
    <row r="1040" spans="1:33" x14ac:dyDescent="0.25">
      <c r="A1040" s="77"/>
      <c r="B1040" s="78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77"/>
      <c r="P1040" s="80"/>
      <c r="Q1040" s="80"/>
      <c r="R1040" s="80"/>
      <c r="S1040" s="80"/>
      <c r="T1040" s="80"/>
      <c r="U1040" s="80"/>
      <c r="V1040" s="80"/>
      <c r="W1040" s="80"/>
      <c r="X1040" s="80"/>
      <c r="Y1040" s="80"/>
      <c r="Z1040" s="80"/>
      <c r="AA1040" s="80"/>
      <c r="AB1040" s="80"/>
      <c r="AC1040" s="80"/>
      <c r="AD1040" s="80"/>
      <c r="AE1040" s="80"/>
      <c r="AF1040" s="80"/>
      <c r="AG1040" s="80"/>
    </row>
    <row r="1041" spans="1:33" x14ac:dyDescent="0.25">
      <c r="A1041" s="77"/>
      <c r="B1041" s="78"/>
      <c r="C1041" s="79"/>
      <c r="D1041" s="79"/>
      <c r="E1041" s="79"/>
      <c r="F1041" s="79"/>
      <c r="G1041" s="79"/>
      <c r="H1041" s="79"/>
      <c r="I1041" s="79"/>
      <c r="J1041" s="79"/>
      <c r="K1041" s="79"/>
      <c r="L1041" s="79"/>
      <c r="M1041" s="79"/>
      <c r="N1041" s="79"/>
      <c r="O1041" s="77"/>
      <c r="P1041" s="80"/>
      <c r="Q1041" s="80"/>
      <c r="R1041" s="80"/>
      <c r="S1041" s="80"/>
      <c r="T1041" s="80"/>
      <c r="U1041" s="80"/>
      <c r="V1041" s="80"/>
      <c r="W1041" s="80"/>
      <c r="X1041" s="80"/>
      <c r="Y1041" s="80"/>
      <c r="Z1041" s="80"/>
      <c r="AA1041" s="80"/>
      <c r="AB1041" s="80"/>
      <c r="AC1041" s="80"/>
      <c r="AD1041" s="80"/>
      <c r="AE1041" s="80"/>
      <c r="AF1041" s="80"/>
      <c r="AG1041" s="80"/>
    </row>
    <row r="1042" spans="1:33" x14ac:dyDescent="0.25">
      <c r="A1042" s="77"/>
      <c r="B1042" s="78"/>
      <c r="C1042" s="79"/>
      <c r="D1042" s="79"/>
      <c r="E1042" s="79"/>
      <c r="F1042" s="79"/>
      <c r="G1042" s="79"/>
      <c r="H1042" s="79"/>
      <c r="I1042" s="79"/>
      <c r="J1042" s="79"/>
      <c r="K1042" s="79"/>
      <c r="L1042" s="79"/>
      <c r="M1042" s="79"/>
      <c r="N1042" s="79"/>
      <c r="O1042" s="77"/>
      <c r="P1042" s="80"/>
      <c r="Q1042" s="80"/>
      <c r="R1042" s="80"/>
      <c r="S1042" s="80"/>
      <c r="T1042" s="80"/>
      <c r="U1042" s="80"/>
      <c r="V1042" s="80"/>
      <c r="W1042" s="80"/>
      <c r="X1042" s="80"/>
      <c r="Y1042" s="80"/>
      <c r="Z1042" s="80"/>
      <c r="AA1042" s="80"/>
      <c r="AB1042" s="80"/>
      <c r="AC1042" s="80"/>
      <c r="AD1042" s="80"/>
      <c r="AE1042" s="80"/>
      <c r="AF1042" s="80"/>
      <c r="AG1042" s="80"/>
    </row>
    <row r="1043" spans="1:33" x14ac:dyDescent="0.25">
      <c r="A1043" s="77"/>
      <c r="B1043" s="78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77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</row>
    <row r="1044" spans="1:33" x14ac:dyDescent="0.25">
      <c r="A1044" s="77"/>
      <c r="B1044" s="78"/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7"/>
      <c r="P1044" s="80"/>
      <c r="Q1044" s="80"/>
      <c r="R1044" s="80"/>
      <c r="S1044" s="80"/>
      <c r="T1044" s="80"/>
      <c r="U1044" s="80"/>
      <c r="V1044" s="80"/>
      <c r="W1044" s="80"/>
      <c r="X1044" s="80"/>
      <c r="Y1044" s="80"/>
      <c r="Z1044" s="80"/>
      <c r="AA1044" s="80"/>
      <c r="AB1044" s="80"/>
      <c r="AC1044" s="80"/>
      <c r="AD1044" s="80"/>
      <c r="AE1044" s="80"/>
      <c r="AF1044" s="80"/>
      <c r="AG1044" s="80"/>
    </row>
    <row r="1045" spans="1:33" x14ac:dyDescent="0.25">
      <c r="A1045" s="77"/>
      <c r="B1045" s="78"/>
      <c r="C1045" s="79"/>
      <c r="D1045" s="79"/>
      <c r="E1045" s="79"/>
      <c r="F1045" s="79"/>
      <c r="G1045" s="79"/>
      <c r="H1045" s="79"/>
      <c r="I1045" s="79"/>
      <c r="J1045" s="79"/>
      <c r="K1045" s="79"/>
      <c r="L1045" s="79"/>
      <c r="M1045" s="79"/>
      <c r="N1045" s="79"/>
      <c r="O1045" s="77"/>
      <c r="P1045" s="80"/>
      <c r="Q1045" s="80"/>
      <c r="R1045" s="80"/>
      <c r="S1045" s="80"/>
      <c r="T1045" s="80"/>
      <c r="U1045" s="80"/>
      <c r="V1045" s="80"/>
      <c r="W1045" s="80"/>
      <c r="X1045" s="80"/>
      <c r="Y1045" s="80"/>
      <c r="Z1045" s="80"/>
      <c r="AA1045" s="80"/>
      <c r="AB1045" s="80"/>
      <c r="AC1045" s="80"/>
      <c r="AD1045" s="80"/>
      <c r="AE1045" s="80"/>
      <c r="AF1045" s="80"/>
      <c r="AG1045" s="80"/>
    </row>
    <row r="1046" spans="1:33" x14ac:dyDescent="0.25">
      <c r="A1046" s="77"/>
      <c r="B1046" s="78"/>
      <c r="C1046" s="79"/>
      <c r="D1046" s="79"/>
      <c r="E1046" s="79"/>
      <c r="F1046" s="79"/>
      <c r="G1046" s="79"/>
      <c r="H1046" s="79"/>
      <c r="I1046" s="79"/>
      <c r="J1046" s="79"/>
      <c r="K1046" s="79"/>
      <c r="L1046" s="79"/>
      <c r="M1046" s="79"/>
      <c r="N1046" s="79"/>
      <c r="O1046" s="77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80"/>
      <c r="AD1046" s="80"/>
      <c r="AE1046" s="80"/>
      <c r="AF1046" s="80"/>
      <c r="AG1046" s="80"/>
    </row>
    <row r="1047" spans="1:33" x14ac:dyDescent="0.25">
      <c r="A1047" s="77"/>
      <c r="B1047" s="78"/>
      <c r="C1047" s="79"/>
      <c r="D1047" s="79"/>
      <c r="E1047" s="79"/>
      <c r="F1047" s="79"/>
      <c r="G1047" s="79"/>
      <c r="H1047" s="79"/>
      <c r="I1047" s="79"/>
      <c r="J1047" s="79"/>
      <c r="K1047" s="79"/>
      <c r="L1047" s="79"/>
      <c r="M1047" s="79"/>
      <c r="N1047" s="79"/>
      <c r="O1047" s="77"/>
      <c r="P1047" s="80"/>
      <c r="Q1047" s="80"/>
      <c r="R1047" s="80"/>
      <c r="S1047" s="80"/>
      <c r="T1047" s="80"/>
      <c r="U1047" s="80"/>
      <c r="V1047" s="80"/>
      <c r="W1047" s="80"/>
      <c r="X1047" s="80"/>
      <c r="Y1047" s="80"/>
      <c r="Z1047" s="80"/>
      <c r="AA1047" s="80"/>
      <c r="AB1047" s="80"/>
      <c r="AC1047" s="80"/>
      <c r="AD1047" s="80"/>
      <c r="AE1047" s="80"/>
      <c r="AF1047" s="80"/>
      <c r="AG1047" s="80"/>
    </row>
    <row r="1048" spans="1:33" x14ac:dyDescent="0.25">
      <c r="A1048" s="77"/>
      <c r="B1048" s="78"/>
      <c r="C1048" s="79"/>
      <c r="D1048" s="79"/>
      <c r="E1048" s="79"/>
      <c r="F1048" s="79"/>
      <c r="G1048" s="79"/>
      <c r="H1048" s="79"/>
      <c r="I1048" s="79"/>
      <c r="J1048" s="79"/>
      <c r="K1048" s="79"/>
      <c r="L1048" s="79"/>
      <c r="M1048" s="79"/>
      <c r="N1048" s="79"/>
      <c r="O1048" s="77"/>
      <c r="P1048" s="80"/>
      <c r="Q1048" s="80"/>
      <c r="R1048" s="80"/>
      <c r="S1048" s="80"/>
      <c r="T1048" s="80"/>
      <c r="U1048" s="80"/>
      <c r="V1048" s="80"/>
      <c r="W1048" s="80"/>
      <c r="X1048" s="80"/>
      <c r="Y1048" s="80"/>
      <c r="Z1048" s="80"/>
      <c r="AA1048" s="80"/>
      <c r="AB1048" s="80"/>
      <c r="AC1048" s="80"/>
      <c r="AD1048" s="80"/>
      <c r="AE1048" s="80"/>
      <c r="AF1048" s="80"/>
      <c r="AG1048" s="80"/>
    </row>
    <row r="1049" spans="1:33" x14ac:dyDescent="0.25">
      <c r="A1049" s="77"/>
      <c r="B1049" s="78"/>
      <c r="C1049" s="79"/>
      <c r="D1049" s="79"/>
      <c r="E1049" s="79"/>
      <c r="F1049" s="79"/>
      <c r="G1049" s="79"/>
      <c r="H1049" s="79"/>
      <c r="I1049" s="79"/>
      <c r="J1049" s="79"/>
      <c r="K1049" s="79"/>
      <c r="L1049" s="79"/>
      <c r="M1049" s="79"/>
      <c r="N1049" s="79"/>
      <c r="O1049" s="77"/>
      <c r="P1049" s="80"/>
      <c r="Q1049" s="80"/>
      <c r="R1049" s="80"/>
      <c r="S1049" s="80"/>
      <c r="T1049" s="80"/>
      <c r="U1049" s="80"/>
      <c r="V1049" s="80"/>
      <c r="W1049" s="80"/>
      <c r="X1049" s="80"/>
      <c r="Y1049" s="80"/>
      <c r="Z1049" s="80"/>
      <c r="AA1049" s="80"/>
      <c r="AB1049" s="80"/>
      <c r="AC1049" s="80"/>
      <c r="AD1049" s="80"/>
      <c r="AE1049" s="80"/>
      <c r="AF1049" s="80"/>
      <c r="AG1049" s="80"/>
    </row>
    <row r="1050" spans="1:33" x14ac:dyDescent="0.25">
      <c r="A1050" s="77"/>
      <c r="B1050" s="78"/>
      <c r="C1050" s="79"/>
      <c r="D1050" s="79"/>
      <c r="E1050" s="79"/>
      <c r="F1050" s="79"/>
      <c r="G1050" s="79"/>
      <c r="H1050" s="79"/>
      <c r="I1050" s="79"/>
      <c r="J1050" s="79"/>
      <c r="K1050" s="79"/>
      <c r="L1050" s="79"/>
      <c r="M1050" s="79"/>
      <c r="N1050" s="79"/>
      <c r="O1050" s="77"/>
      <c r="P1050" s="80"/>
      <c r="Q1050" s="80"/>
      <c r="R1050" s="80"/>
      <c r="S1050" s="80"/>
      <c r="T1050" s="80"/>
      <c r="U1050" s="80"/>
      <c r="V1050" s="80"/>
      <c r="W1050" s="80"/>
      <c r="X1050" s="80"/>
      <c r="Y1050" s="80"/>
      <c r="Z1050" s="80"/>
      <c r="AA1050" s="80"/>
      <c r="AB1050" s="80"/>
      <c r="AC1050" s="80"/>
      <c r="AD1050" s="80"/>
      <c r="AE1050" s="80"/>
      <c r="AF1050" s="80"/>
      <c r="AG1050" s="80"/>
    </row>
    <row r="1051" spans="1:33" x14ac:dyDescent="0.25">
      <c r="A1051" s="77"/>
      <c r="B1051" s="78"/>
      <c r="C1051" s="79"/>
      <c r="D1051" s="79"/>
      <c r="E1051" s="79"/>
      <c r="F1051" s="79"/>
      <c r="G1051" s="79"/>
      <c r="H1051" s="79"/>
      <c r="I1051" s="79"/>
      <c r="J1051" s="79"/>
      <c r="K1051" s="79"/>
      <c r="L1051" s="79"/>
      <c r="M1051" s="79"/>
      <c r="N1051" s="79"/>
      <c r="O1051" s="77"/>
      <c r="P1051" s="80"/>
      <c r="Q1051" s="80"/>
      <c r="R1051" s="80"/>
      <c r="S1051" s="80"/>
      <c r="T1051" s="80"/>
      <c r="U1051" s="80"/>
      <c r="V1051" s="80"/>
      <c r="W1051" s="80"/>
      <c r="X1051" s="80"/>
      <c r="Y1051" s="80"/>
      <c r="Z1051" s="80"/>
      <c r="AA1051" s="80"/>
      <c r="AB1051" s="80"/>
      <c r="AC1051" s="80"/>
      <c r="AD1051" s="80"/>
      <c r="AE1051" s="80"/>
      <c r="AF1051" s="80"/>
      <c r="AG1051" s="80"/>
    </row>
    <row r="1052" spans="1:33" x14ac:dyDescent="0.25">
      <c r="A1052" s="77"/>
      <c r="B1052" s="78"/>
      <c r="C1052" s="79"/>
      <c r="D1052" s="79"/>
      <c r="E1052" s="79"/>
      <c r="F1052" s="79"/>
      <c r="G1052" s="79"/>
      <c r="H1052" s="79"/>
      <c r="I1052" s="79"/>
      <c r="J1052" s="79"/>
      <c r="K1052" s="79"/>
      <c r="L1052" s="79"/>
      <c r="M1052" s="79"/>
      <c r="N1052" s="79"/>
      <c r="O1052" s="77"/>
      <c r="P1052" s="80"/>
      <c r="Q1052" s="80"/>
      <c r="R1052" s="80"/>
      <c r="S1052" s="80"/>
      <c r="T1052" s="80"/>
      <c r="U1052" s="80"/>
      <c r="V1052" s="80"/>
      <c r="W1052" s="80"/>
      <c r="X1052" s="80"/>
      <c r="Y1052" s="80"/>
      <c r="Z1052" s="80"/>
      <c r="AA1052" s="80"/>
      <c r="AB1052" s="80"/>
      <c r="AC1052" s="80"/>
      <c r="AD1052" s="80"/>
      <c r="AE1052" s="80"/>
      <c r="AF1052" s="80"/>
      <c r="AG1052" s="80"/>
    </row>
    <row r="1053" spans="1:33" x14ac:dyDescent="0.25">
      <c r="A1053" s="77"/>
      <c r="B1053" s="78"/>
      <c r="C1053" s="79"/>
      <c r="D1053" s="79"/>
      <c r="E1053" s="79"/>
      <c r="F1053" s="79"/>
      <c r="G1053" s="79"/>
      <c r="H1053" s="79"/>
      <c r="I1053" s="79"/>
      <c r="J1053" s="79"/>
      <c r="K1053" s="79"/>
      <c r="L1053" s="79"/>
      <c r="M1053" s="79"/>
      <c r="N1053" s="79"/>
      <c r="O1053" s="77"/>
      <c r="P1053" s="80"/>
      <c r="Q1053" s="80"/>
      <c r="R1053" s="80"/>
      <c r="S1053" s="80"/>
      <c r="T1053" s="80"/>
      <c r="U1053" s="80"/>
      <c r="V1053" s="80"/>
      <c r="W1053" s="80"/>
      <c r="X1053" s="80"/>
      <c r="Y1053" s="80"/>
      <c r="Z1053" s="80"/>
      <c r="AA1053" s="80"/>
      <c r="AB1053" s="80"/>
      <c r="AC1053" s="80"/>
      <c r="AD1053" s="80"/>
      <c r="AE1053" s="80"/>
      <c r="AF1053" s="80"/>
      <c r="AG1053" s="80"/>
    </row>
    <row r="1054" spans="1:33" x14ac:dyDescent="0.25">
      <c r="A1054" s="77"/>
      <c r="B1054" s="78"/>
      <c r="C1054" s="79"/>
      <c r="D1054" s="79"/>
      <c r="E1054" s="79"/>
      <c r="F1054" s="79"/>
      <c r="G1054" s="79"/>
      <c r="H1054" s="79"/>
      <c r="I1054" s="79"/>
      <c r="J1054" s="79"/>
      <c r="K1054" s="79"/>
      <c r="L1054" s="79"/>
      <c r="M1054" s="79"/>
      <c r="N1054" s="79"/>
      <c r="O1054" s="77"/>
      <c r="P1054" s="80"/>
      <c r="Q1054" s="80"/>
      <c r="R1054" s="80"/>
      <c r="S1054" s="80"/>
      <c r="T1054" s="80"/>
      <c r="U1054" s="80"/>
      <c r="V1054" s="80"/>
      <c r="W1054" s="80"/>
      <c r="X1054" s="80"/>
      <c r="Y1054" s="80"/>
      <c r="Z1054" s="80"/>
      <c r="AA1054" s="80"/>
      <c r="AB1054" s="80"/>
      <c r="AC1054" s="80"/>
      <c r="AD1054" s="80"/>
      <c r="AE1054" s="80"/>
      <c r="AF1054" s="80"/>
      <c r="AG1054" s="80"/>
    </row>
    <row r="1055" spans="1:33" x14ac:dyDescent="0.25">
      <c r="A1055" s="77"/>
      <c r="B1055" s="78"/>
      <c r="C1055" s="79"/>
      <c r="D1055" s="79"/>
      <c r="E1055" s="79"/>
      <c r="F1055" s="79"/>
      <c r="G1055" s="79"/>
      <c r="H1055" s="79"/>
      <c r="I1055" s="79"/>
      <c r="J1055" s="79"/>
      <c r="K1055" s="79"/>
      <c r="L1055" s="79"/>
      <c r="M1055" s="79"/>
      <c r="N1055" s="79"/>
      <c r="O1055" s="77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</row>
    <row r="1056" spans="1:33" x14ac:dyDescent="0.25">
      <c r="A1056" s="77"/>
      <c r="B1056" s="78"/>
      <c r="C1056" s="79"/>
      <c r="D1056" s="79"/>
      <c r="E1056" s="79"/>
      <c r="F1056" s="79"/>
      <c r="G1056" s="79"/>
      <c r="H1056" s="79"/>
      <c r="I1056" s="79"/>
      <c r="J1056" s="79"/>
      <c r="K1056" s="79"/>
      <c r="L1056" s="79"/>
      <c r="M1056" s="79"/>
      <c r="N1056" s="79"/>
      <c r="O1056" s="77"/>
      <c r="P1056" s="80"/>
      <c r="Q1056" s="80"/>
      <c r="R1056" s="80"/>
      <c r="S1056" s="80"/>
      <c r="T1056" s="80"/>
      <c r="U1056" s="80"/>
      <c r="V1056" s="80"/>
      <c r="W1056" s="80"/>
      <c r="X1056" s="80"/>
      <c r="Y1056" s="80"/>
      <c r="Z1056" s="80"/>
      <c r="AA1056" s="80"/>
      <c r="AB1056" s="80"/>
      <c r="AC1056" s="80"/>
      <c r="AD1056" s="80"/>
      <c r="AE1056" s="80"/>
      <c r="AF1056" s="80"/>
      <c r="AG1056" s="80"/>
    </row>
    <row r="1057" spans="1:33" x14ac:dyDescent="0.25">
      <c r="A1057" s="77"/>
      <c r="B1057" s="78"/>
      <c r="C1057" s="79"/>
      <c r="D1057" s="79"/>
      <c r="E1057" s="79"/>
      <c r="F1057" s="79"/>
      <c r="G1057" s="79"/>
      <c r="H1057" s="79"/>
      <c r="I1057" s="79"/>
      <c r="J1057" s="79"/>
      <c r="K1057" s="79"/>
      <c r="L1057" s="79"/>
      <c r="M1057" s="79"/>
      <c r="N1057" s="79"/>
      <c r="O1057" s="77"/>
      <c r="P1057" s="80"/>
      <c r="Q1057" s="80"/>
      <c r="R1057" s="80"/>
      <c r="S1057" s="80"/>
      <c r="T1057" s="80"/>
      <c r="U1057" s="80"/>
      <c r="V1057" s="80"/>
      <c r="W1057" s="80"/>
      <c r="X1057" s="80"/>
      <c r="Y1057" s="80"/>
      <c r="Z1057" s="80"/>
      <c r="AA1057" s="80"/>
      <c r="AB1057" s="80"/>
      <c r="AC1057" s="80"/>
      <c r="AD1057" s="80"/>
      <c r="AE1057" s="80"/>
      <c r="AF1057" s="80"/>
      <c r="AG105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E72D-2E45-469C-A53E-5DD9B1DFDFFE}">
  <dimension ref="A1:AG1057"/>
  <sheetViews>
    <sheetView topLeftCell="A16" workbookViewId="0">
      <selection activeCell="V24" sqref="V24"/>
    </sheetView>
  </sheetViews>
  <sheetFormatPr defaultColWidth="12.5703125" defaultRowHeight="15" x14ac:dyDescent="0.25"/>
  <cols>
    <col min="1" max="1" width="4.7109375" customWidth="1"/>
    <col min="2" max="2" width="29.42578125" customWidth="1"/>
    <col min="3" max="3" width="0" hidden="1" customWidth="1"/>
    <col min="4" max="4" width="14.5703125" hidden="1" customWidth="1"/>
    <col min="5" max="14" width="0" hidden="1" customWidth="1"/>
  </cols>
  <sheetData>
    <row r="1" spans="1:33" ht="43.5" customHeight="1" x14ac:dyDescent="0.25">
      <c r="A1" s="67"/>
      <c r="B1" s="67" t="s">
        <v>254</v>
      </c>
      <c r="C1" s="67" t="s">
        <v>255</v>
      </c>
      <c r="D1" s="67" t="s">
        <v>256</v>
      </c>
      <c r="E1" s="67" t="s">
        <v>257</v>
      </c>
      <c r="F1" s="67" t="s">
        <v>258</v>
      </c>
      <c r="G1" s="67" t="s">
        <v>259</v>
      </c>
      <c r="H1" s="67" t="s">
        <v>260</v>
      </c>
      <c r="I1" s="67" t="s">
        <v>261</v>
      </c>
      <c r="J1" s="67" t="s">
        <v>262</v>
      </c>
      <c r="K1" s="67" t="s">
        <v>263</v>
      </c>
      <c r="L1" s="67" t="s">
        <v>264</v>
      </c>
      <c r="M1" s="67" t="s">
        <v>265</v>
      </c>
      <c r="N1" s="67" t="s">
        <v>266</v>
      </c>
      <c r="O1" s="67" t="s">
        <v>267</v>
      </c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</row>
    <row r="2" spans="1:33" x14ac:dyDescent="0.25">
      <c r="A2" s="68">
        <v>1</v>
      </c>
      <c r="B2" s="69" t="s">
        <v>6</v>
      </c>
      <c r="C2" s="70">
        <v>21</v>
      </c>
      <c r="D2" s="70">
        <v>21</v>
      </c>
      <c r="E2" s="70">
        <v>15</v>
      </c>
      <c r="F2" s="70">
        <v>22</v>
      </c>
      <c r="G2" s="70"/>
      <c r="H2" s="70">
        <v>20</v>
      </c>
      <c r="I2" s="70"/>
      <c r="J2" s="70">
        <v>22</v>
      </c>
      <c r="K2" s="70"/>
      <c r="L2" s="70">
        <v>23</v>
      </c>
      <c r="M2" s="70">
        <v>30</v>
      </c>
      <c r="N2" s="70">
        <v>30</v>
      </c>
      <c r="O2" s="68" t="s">
        <v>268</v>
      </c>
      <c r="P2">
        <f>SUM(C2:N2)</f>
        <v>204</v>
      </c>
      <c r="Q2">
        <f>(P2/600)*100</f>
        <v>34</v>
      </c>
      <c r="R2">
        <f>Q2*0.4</f>
        <v>13.600000000000001</v>
      </c>
    </row>
    <row r="3" spans="1:33" x14ac:dyDescent="0.25">
      <c r="A3" s="68">
        <v>2</v>
      </c>
      <c r="B3" s="69" t="s">
        <v>7</v>
      </c>
      <c r="C3" s="70">
        <v>18</v>
      </c>
      <c r="D3" s="70">
        <v>24</v>
      </c>
      <c r="E3" s="70">
        <v>20</v>
      </c>
      <c r="F3" s="70">
        <v>29</v>
      </c>
      <c r="G3" s="70">
        <v>27</v>
      </c>
      <c r="H3" s="70">
        <v>16</v>
      </c>
      <c r="I3" s="70"/>
      <c r="J3" s="70"/>
      <c r="K3" s="70"/>
      <c r="L3" s="70"/>
      <c r="M3" s="70"/>
      <c r="N3" s="70"/>
      <c r="O3" s="68" t="s">
        <v>268</v>
      </c>
      <c r="P3">
        <f t="shared" ref="P3:P66" si="0">SUM(C3:N3)</f>
        <v>134</v>
      </c>
      <c r="Q3">
        <f t="shared" ref="Q3:Q66" si="1">(P3/600)*100</f>
        <v>22.333333333333332</v>
      </c>
      <c r="R3">
        <f t="shared" ref="R3:R66" si="2">Q3*0.4</f>
        <v>8.9333333333333336</v>
      </c>
    </row>
    <row r="4" spans="1:33" x14ac:dyDescent="0.25">
      <c r="A4" s="68">
        <v>3</v>
      </c>
      <c r="B4" s="69" t="s">
        <v>8</v>
      </c>
      <c r="C4" s="70"/>
      <c r="D4" s="70">
        <v>26</v>
      </c>
      <c r="E4" s="70">
        <v>29</v>
      </c>
      <c r="F4" s="70">
        <v>23</v>
      </c>
      <c r="G4" s="70">
        <v>24</v>
      </c>
      <c r="H4" s="70">
        <v>29</v>
      </c>
      <c r="I4" s="70">
        <v>17</v>
      </c>
      <c r="J4" s="70">
        <v>23</v>
      </c>
      <c r="K4" s="70">
        <v>25</v>
      </c>
      <c r="L4" s="70">
        <v>28</v>
      </c>
      <c r="M4" s="70">
        <v>25</v>
      </c>
      <c r="N4" s="70">
        <v>27</v>
      </c>
      <c r="O4" s="68" t="s">
        <v>268</v>
      </c>
      <c r="P4">
        <f t="shared" si="0"/>
        <v>276</v>
      </c>
      <c r="Q4">
        <f t="shared" si="1"/>
        <v>46</v>
      </c>
      <c r="R4">
        <f t="shared" si="2"/>
        <v>18.400000000000002</v>
      </c>
    </row>
    <row r="5" spans="1:33" x14ac:dyDescent="0.25">
      <c r="A5" s="68">
        <v>4</v>
      </c>
      <c r="B5" s="69" t="s">
        <v>9</v>
      </c>
      <c r="C5" s="70"/>
      <c r="D5" s="70"/>
      <c r="E5" s="70"/>
      <c r="F5" s="70">
        <v>20</v>
      </c>
      <c r="G5" s="70">
        <v>26</v>
      </c>
      <c r="H5" s="70">
        <v>20</v>
      </c>
      <c r="I5" s="70">
        <v>20</v>
      </c>
      <c r="J5" s="70">
        <v>24</v>
      </c>
      <c r="K5" s="70">
        <v>26</v>
      </c>
      <c r="L5" s="70">
        <v>24</v>
      </c>
      <c r="M5" s="70">
        <v>22</v>
      </c>
      <c r="N5" s="70">
        <v>31</v>
      </c>
      <c r="O5" s="68" t="s">
        <v>268</v>
      </c>
      <c r="P5">
        <f t="shared" si="0"/>
        <v>213</v>
      </c>
      <c r="Q5">
        <f t="shared" si="1"/>
        <v>35.5</v>
      </c>
      <c r="R5">
        <f t="shared" si="2"/>
        <v>14.200000000000001</v>
      </c>
    </row>
    <row r="6" spans="1:33" x14ac:dyDescent="0.25">
      <c r="A6" s="68">
        <v>5</v>
      </c>
      <c r="B6" s="69" t="s">
        <v>10</v>
      </c>
      <c r="C6" s="70"/>
      <c r="D6" s="70">
        <v>31</v>
      </c>
      <c r="E6" s="70">
        <v>16</v>
      </c>
      <c r="F6" s="70">
        <v>16</v>
      </c>
      <c r="G6" s="70">
        <v>18</v>
      </c>
      <c r="H6" s="70">
        <v>12</v>
      </c>
      <c r="I6" s="70"/>
      <c r="J6" s="70"/>
      <c r="K6" s="70"/>
      <c r="L6" s="70"/>
      <c r="M6" s="70"/>
      <c r="N6" s="70"/>
      <c r="O6" s="68" t="s">
        <v>268</v>
      </c>
      <c r="P6">
        <f t="shared" si="0"/>
        <v>93</v>
      </c>
      <c r="Q6">
        <f t="shared" si="1"/>
        <v>15.5</v>
      </c>
      <c r="R6">
        <f t="shared" si="2"/>
        <v>6.2</v>
      </c>
    </row>
    <row r="7" spans="1:33" x14ac:dyDescent="0.25">
      <c r="A7" s="68">
        <v>6</v>
      </c>
      <c r="B7" s="69" t="s">
        <v>11</v>
      </c>
      <c r="C7" s="70">
        <v>23</v>
      </c>
      <c r="D7" s="70">
        <v>24</v>
      </c>
      <c r="E7" s="70">
        <v>25</v>
      </c>
      <c r="F7" s="70">
        <v>23</v>
      </c>
      <c r="G7" s="70">
        <v>18</v>
      </c>
      <c r="H7" s="70">
        <v>17</v>
      </c>
      <c r="I7" s="70">
        <v>18</v>
      </c>
      <c r="J7" s="70"/>
      <c r="K7" s="70">
        <v>22</v>
      </c>
      <c r="L7" s="70"/>
      <c r="M7" s="70"/>
      <c r="N7" s="70"/>
      <c r="O7" s="68" t="s">
        <v>268</v>
      </c>
      <c r="P7">
        <f t="shared" si="0"/>
        <v>170</v>
      </c>
      <c r="Q7">
        <f t="shared" si="1"/>
        <v>28.333333333333332</v>
      </c>
      <c r="R7">
        <f t="shared" si="2"/>
        <v>11.333333333333334</v>
      </c>
    </row>
    <row r="8" spans="1:33" x14ac:dyDescent="0.25">
      <c r="A8" s="68">
        <v>7</v>
      </c>
      <c r="B8" s="69" t="s">
        <v>12</v>
      </c>
      <c r="C8" s="70">
        <v>28</v>
      </c>
      <c r="D8" s="70">
        <v>31</v>
      </c>
      <c r="E8" s="70">
        <v>28</v>
      </c>
      <c r="F8" s="70">
        <v>21</v>
      </c>
      <c r="G8" s="70">
        <v>21</v>
      </c>
      <c r="H8" s="70">
        <v>23</v>
      </c>
      <c r="I8" s="70">
        <v>22</v>
      </c>
      <c r="J8" s="70">
        <v>26</v>
      </c>
      <c r="K8" s="70">
        <v>16</v>
      </c>
      <c r="L8" s="70">
        <v>23</v>
      </c>
      <c r="M8" s="70"/>
      <c r="N8" s="70">
        <v>27</v>
      </c>
      <c r="O8" s="68" t="s">
        <v>268</v>
      </c>
      <c r="P8">
        <f t="shared" si="0"/>
        <v>266</v>
      </c>
      <c r="Q8">
        <f t="shared" si="1"/>
        <v>44.333333333333336</v>
      </c>
      <c r="R8">
        <f t="shared" si="2"/>
        <v>17.733333333333334</v>
      </c>
    </row>
    <row r="9" spans="1:33" x14ac:dyDescent="0.25">
      <c r="A9" s="68">
        <v>8</v>
      </c>
      <c r="B9" s="69" t="s">
        <v>13</v>
      </c>
      <c r="C9" s="70"/>
      <c r="D9" s="70"/>
      <c r="E9" s="70">
        <v>12</v>
      </c>
      <c r="F9" s="70"/>
      <c r="G9" s="70"/>
      <c r="H9" s="70"/>
      <c r="I9" s="70"/>
      <c r="J9" s="70"/>
      <c r="K9" s="70"/>
      <c r="L9" s="70"/>
      <c r="M9" s="70"/>
      <c r="N9" s="70"/>
      <c r="O9" s="68" t="s">
        <v>268</v>
      </c>
      <c r="P9">
        <f t="shared" si="0"/>
        <v>12</v>
      </c>
      <c r="Q9">
        <f t="shared" si="1"/>
        <v>2</v>
      </c>
      <c r="R9">
        <f t="shared" si="2"/>
        <v>0.8</v>
      </c>
    </row>
    <row r="10" spans="1:33" x14ac:dyDescent="0.25">
      <c r="A10" s="68">
        <v>9</v>
      </c>
      <c r="B10" s="69" t="s">
        <v>14</v>
      </c>
      <c r="C10" s="70"/>
      <c r="D10" s="70">
        <v>26</v>
      </c>
      <c r="E10" s="70">
        <v>23</v>
      </c>
      <c r="F10" s="70"/>
      <c r="G10" s="70">
        <v>15</v>
      </c>
      <c r="H10" s="70">
        <v>18</v>
      </c>
      <c r="I10" s="70">
        <v>34</v>
      </c>
      <c r="J10" s="70">
        <v>39</v>
      </c>
      <c r="K10" s="70">
        <v>30</v>
      </c>
      <c r="L10" s="70">
        <v>25</v>
      </c>
      <c r="M10" s="70">
        <v>33</v>
      </c>
      <c r="N10" s="70">
        <v>41</v>
      </c>
      <c r="O10" s="68" t="s">
        <v>268</v>
      </c>
      <c r="P10">
        <f t="shared" si="0"/>
        <v>284</v>
      </c>
      <c r="Q10">
        <f t="shared" si="1"/>
        <v>47.333333333333336</v>
      </c>
      <c r="R10">
        <f t="shared" si="2"/>
        <v>18.933333333333334</v>
      </c>
    </row>
    <row r="11" spans="1:33" x14ac:dyDescent="0.25">
      <c r="A11" s="68">
        <v>10</v>
      </c>
      <c r="B11" s="69" t="s">
        <v>15</v>
      </c>
      <c r="C11" s="70">
        <v>18</v>
      </c>
      <c r="D11" s="70">
        <v>20</v>
      </c>
      <c r="E11" s="70">
        <v>17</v>
      </c>
      <c r="F11" s="70">
        <v>16</v>
      </c>
      <c r="G11" s="70">
        <v>24</v>
      </c>
      <c r="H11" s="70">
        <v>20</v>
      </c>
      <c r="I11" s="70"/>
      <c r="J11" s="70"/>
      <c r="K11" s="70"/>
      <c r="L11" s="70"/>
      <c r="M11" s="70"/>
      <c r="N11" s="70"/>
      <c r="O11" s="68" t="s">
        <v>268</v>
      </c>
      <c r="P11">
        <f t="shared" si="0"/>
        <v>115</v>
      </c>
      <c r="Q11">
        <f t="shared" si="1"/>
        <v>19.166666666666668</v>
      </c>
      <c r="R11">
        <f t="shared" si="2"/>
        <v>7.6666666666666679</v>
      </c>
    </row>
    <row r="12" spans="1:33" x14ac:dyDescent="0.25">
      <c r="A12" s="68">
        <v>11</v>
      </c>
      <c r="B12" s="69" t="s">
        <v>16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68" t="s">
        <v>268</v>
      </c>
      <c r="P12">
        <f t="shared" si="0"/>
        <v>0</v>
      </c>
      <c r="Q12">
        <f t="shared" si="1"/>
        <v>0</v>
      </c>
      <c r="R12">
        <f t="shared" si="2"/>
        <v>0</v>
      </c>
    </row>
    <row r="13" spans="1:33" x14ac:dyDescent="0.25">
      <c r="A13" s="68">
        <v>12</v>
      </c>
      <c r="B13" s="69" t="s">
        <v>17</v>
      </c>
      <c r="C13" s="70">
        <v>20</v>
      </c>
      <c r="D13" s="70"/>
      <c r="E13" s="70"/>
      <c r="F13" s="70">
        <v>17</v>
      </c>
      <c r="G13" s="70">
        <v>16</v>
      </c>
      <c r="H13" s="70"/>
      <c r="I13" s="70">
        <v>16</v>
      </c>
      <c r="J13" s="70">
        <v>21</v>
      </c>
      <c r="K13" s="70">
        <v>11</v>
      </c>
      <c r="L13" s="70">
        <v>21</v>
      </c>
      <c r="M13" s="70"/>
      <c r="N13" s="70"/>
      <c r="O13" s="68" t="s">
        <v>268</v>
      </c>
      <c r="P13">
        <f t="shared" si="0"/>
        <v>122</v>
      </c>
      <c r="Q13">
        <f t="shared" si="1"/>
        <v>20.333333333333332</v>
      </c>
      <c r="R13">
        <f t="shared" si="2"/>
        <v>8.1333333333333329</v>
      </c>
    </row>
    <row r="14" spans="1:33" x14ac:dyDescent="0.25">
      <c r="A14" s="68">
        <v>13</v>
      </c>
      <c r="B14" s="69" t="s">
        <v>18</v>
      </c>
      <c r="C14" s="70">
        <v>28</v>
      </c>
      <c r="D14" s="70">
        <v>28</v>
      </c>
      <c r="E14" s="70">
        <v>29</v>
      </c>
      <c r="F14" s="70">
        <v>26</v>
      </c>
      <c r="G14" s="70">
        <v>29</v>
      </c>
      <c r="H14" s="70">
        <v>17</v>
      </c>
      <c r="I14" s="70">
        <v>18</v>
      </c>
      <c r="J14" s="70">
        <v>21</v>
      </c>
      <c r="K14" s="70">
        <v>19</v>
      </c>
      <c r="L14" s="70">
        <v>23</v>
      </c>
      <c r="M14" s="70">
        <v>19</v>
      </c>
      <c r="N14" s="70">
        <v>34</v>
      </c>
      <c r="O14" s="68" t="s">
        <v>268</v>
      </c>
      <c r="P14">
        <f t="shared" si="0"/>
        <v>291</v>
      </c>
      <c r="Q14">
        <f t="shared" si="1"/>
        <v>48.5</v>
      </c>
      <c r="R14">
        <f t="shared" si="2"/>
        <v>19.400000000000002</v>
      </c>
    </row>
    <row r="15" spans="1:33" x14ac:dyDescent="0.25">
      <c r="A15" s="68">
        <v>14</v>
      </c>
      <c r="B15" s="69" t="s">
        <v>19</v>
      </c>
      <c r="C15" s="70">
        <v>13</v>
      </c>
      <c r="D15" s="70">
        <v>24</v>
      </c>
      <c r="E15" s="70">
        <v>17</v>
      </c>
      <c r="F15" s="70">
        <v>15</v>
      </c>
      <c r="G15" s="70"/>
      <c r="H15" s="70">
        <v>26</v>
      </c>
      <c r="I15" s="70">
        <v>18</v>
      </c>
      <c r="J15" s="70"/>
      <c r="K15" s="70">
        <v>19</v>
      </c>
      <c r="L15" s="70">
        <v>18</v>
      </c>
      <c r="M15" s="70"/>
      <c r="N15" s="70"/>
      <c r="O15" s="68" t="s">
        <v>268</v>
      </c>
      <c r="P15">
        <f t="shared" si="0"/>
        <v>150</v>
      </c>
      <c r="Q15">
        <f t="shared" si="1"/>
        <v>25</v>
      </c>
      <c r="R15">
        <f t="shared" si="2"/>
        <v>10</v>
      </c>
    </row>
    <row r="16" spans="1:33" x14ac:dyDescent="0.25">
      <c r="A16" s="68">
        <v>15</v>
      </c>
      <c r="B16" s="69" t="s">
        <v>20</v>
      </c>
      <c r="C16" s="70">
        <v>41</v>
      </c>
      <c r="D16" s="70">
        <v>35</v>
      </c>
      <c r="E16" s="70">
        <v>32</v>
      </c>
      <c r="F16" s="70">
        <v>23</v>
      </c>
      <c r="G16" s="70"/>
      <c r="H16" s="70"/>
      <c r="I16" s="70">
        <v>19</v>
      </c>
      <c r="J16" s="70">
        <v>26</v>
      </c>
      <c r="K16" s="70">
        <v>25</v>
      </c>
      <c r="L16" s="70">
        <v>20</v>
      </c>
      <c r="M16" s="70">
        <v>27</v>
      </c>
      <c r="N16" s="70">
        <v>25</v>
      </c>
      <c r="O16" s="68" t="s">
        <v>268</v>
      </c>
      <c r="P16">
        <f t="shared" si="0"/>
        <v>273</v>
      </c>
      <c r="Q16">
        <f t="shared" si="1"/>
        <v>45.5</v>
      </c>
      <c r="R16">
        <f t="shared" si="2"/>
        <v>18.2</v>
      </c>
    </row>
    <row r="17" spans="1:33" x14ac:dyDescent="0.25">
      <c r="A17" s="68">
        <v>16</v>
      </c>
      <c r="B17" s="69" t="s">
        <v>21</v>
      </c>
      <c r="C17" s="70">
        <v>16</v>
      </c>
      <c r="D17" s="70">
        <v>14</v>
      </c>
      <c r="E17" s="70">
        <v>13</v>
      </c>
      <c r="F17" s="70">
        <v>14</v>
      </c>
      <c r="G17" s="70">
        <v>15</v>
      </c>
      <c r="H17" s="70">
        <v>10</v>
      </c>
      <c r="I17" s="70">
        <v>19</v>
      </c>
      <c r="J17" s="70">
        <v>23</v>
      </c>
      <c r="K17" s="70">
        <v>16</v>
      </c>
      <c r="L17" s="70">
        <v>15</v>
      </c>
      <c r="M17" s="70">
        <v>19</v>
      </c>
      <c r="N17" s="70">
        <v>21</v>
      </c>
      <c r="O17" s="68" t="s">
        <v>268</v>
      </c>
      <c r="P17">
        <f t="shared" si="0"/>
        <v>195</v>
      </c>
      <c r="Q17">
        <f t="shared" si="1"/>
        <v>32.5</v>
      </c>
      <c r="R17">
        <f t="shared" si="2"/>
        <v>13</v>
      </c>
    </row>
    <row r="18" spans="1:33" x14ac:dyDescent="0.25">
      <c r="A18" s="68">
        <v>17</v>
      </c>
      <c r="B18" s="69" t="s">
        <v>22</v>
      </c>
      <c r="C18" s="70"/>
      <c r="D18" s="70">
        <v>34</v>
      </c>
      <c r="E18" s="70"/>
      <c r="F18" s="70"/>
      <c r="G18" s="70"/>
      <c r="H18" s="70"/>
      <c r="I18" s="70">
        <v>23</v>
      </c>
      <c r="J18" s="70">
        <v>33</v>
      </c>
      <c r="K18" s="70">
        <v>38</v>
      </c>
      <c r="L18" s="70">
        <v>31</v>
      </c>
      <c r="M18" s="70">
        <v>32</v>
      </c>
      <c r="N18" s="70">
        <v>38</v>
      </c>
      <c r="O18" s="68" t="s">
        <v>268</v>
      </c>
      <c r="P18">
        <f t="shared" si="0"/>
        <v>229</v>
      </c>
      <c r="Q18">
        <f t="shared" si="1"/>
        <v>38.166666666666664</v>
      </c>
      <c r="R18">
        <f t="shared" si="2"/>
        <v>15.266666666666666</v>
      </c>
    </row>
    <row r="19" spans="1:33" x14ac:dyDescent="0.25">
      <c r="A19" s="68">
        <v>18</v>
      </c>
      <c r="B19" s="69" t="s">
        <v>23</v>
      </c>
      <c r="C19" s="70">
        <v>41</v>
      </c>
      <c r="D19" s="70">
        <v>40</v>
      </c>
      <c r="E19" s="70">
        <v>34</v>
      </c>
      <c r="F19" s="70">
        <v>38</v>
      </c>
      <c r="G19" s="70">
        <v>39</v>
      </c>
      <c r="H19" s="70">
        <v>34</v>
      </c>
      <c r="I19" s="70">
        <v>27</v>
      </c>
      <c r="J19" s="70">
        <v>40</v>
      </c>
      <c r="K19" s="70">
        <v>36</v>
      </c>
      <c r="L19" s="70">
        <v>31</v>
      </c>
      <c r="M19" s="70">
        <v>37</v>
      </c>
      <c r="N19" s="70">
        <v>32</v>
      </c>
      <c r="O19" s="68" t="s">
        <v>268</v>
      </c>
      <c r="P19">
        <f t="shared" si="0"/>
        <v>429</v>
      </c>
      <c r="Q19">
        <f t="shared" si="1"/>
        <v>71.5</v>
      </c>
      <c r="R19">
        <f t="shared" si="2"/>
        <v>28.6</v>
      </c>
    </row>
    <row r="20" spans="1:33" x14ac:dyDescent="0.25">
      <c r="A20" s="68">
        <v>19</v>
      </c>
      <c r="B20" s="69" t="s">
        <v>24</v>
      </c>
      <c r="C20" s="70"/>
      <c r="D20" s="70">
        <v>30</v>
      </c>
      <c r="E20" s="70">
        <v>15</v>
      </c>
      <c r="F20" s="70">
        <v>23</v>
      </c>
      <c r="G20" s="70">
        <v>20</v>
      </c>
      <c r="H20" s="70">
        <v>26</v>
      </c>
      <c r="I20" s="70"/>
      <c r="J20" s="70">
        <v>21</v>
      </c>
      <c r="K20" s="70"/>
      <c r="L20" s="70"/>
      <c r="M20" s="70">
        <v>17</v>
      </c>
      <c r="N20" s="70">
        <v>31</v>
      </c>
      <c r="O20" s="68" t="s">
        <v>268</v>
      </c>
      <c r="P20">
        <f t="shared" si="0"/>
        <v>183</v>
      </c>
      <c r="Q20">
        <f t="shared" si="1"/>
        <v>30.5</v>
      </c>
      <c r="R20">
        <f t="shared" si="2"/>
        <v>12.200000000000001</v>
      </c>
    </row>
    <row r="21" spans="1:33" x14ac:dyDescent="0.25">
      <c r="A21" s="68">
        <v>20</v>
      </c>
      <c r="B21" s="69" t="s">
        <v>25</v>
      </c>
      <c r="C21" s="70">
        <v>42</v>
      </c>
      <c r="D21" s="70">
        <v>43</v>
      </c>
      <c r="E21" s="70">
        <v>44</v>
      </c>
      <c r="F21" s="70">
        <v>46</v>
      </c>
      <c r="G21" s="70">
        <v>45</v>
      </c>
      <c r="H21" s="70">
        <v>38</v>
      </c>
      <c r="I21" s="70">
        <v>39</v>
      </c>
      <c r="J21" s="70">
        <v>43</v>
      </c>
      <c r="K21" s="70">
        <v>44</v>
      </c>
      <c r="L21" s="70">
        <v>33</v>
      </c>
      <c r="M21" s="70">
        <v>41</v>
      </c>
      <c r="N21" s="70">
        <v>44</v>
      </c>
      <c r="O21" s="68" t="s">
        <v>268</v>
      </c>
      <c r="P21">
        <f t="shared" si="0"/>
        <v>502</v>
      </c>
      <c r="Q21">
        <f t="shared" si="1"/>
        <v>83.666666666666671</v>
      </c>
      <c r="R21">
        <f t="shared" si="2"/>
        <v>33.466666666666669</v>
      </c>
    </row>
    <row r="22" spans="1:33" x14ac:dyDescent="0.25">
      <c r="A22" s="68">
        <v>21</v>
      </c>
      <c r="B22" s="69" t="s">
        <v>26</v>
      </c>
      <c r="C22" s="70">
        <v>24</v>
      </c>
      <c r="D22" s="70">
        <v>29</v>
      </c>
      <c r="E22" s="70">
        <v>21</v>
      </c>
      <c r="F22" s="70">
        <v>25</v>
      </c>
      <c r="G22" s="70">
        <v>19</v>
      </c>
      <c r="H22" s="70">
        <v>21</v>
      </c>
      <c r="I22" s="70">
        <v>25</v>
      </c>
      <c r="J22" s="70">
        <v>33</v>
      </c>
      <c r="K22" s="70">
        <v>36</v>
      </c>
      <c r="L22" s="70">
        <v>22</v>
      </c>
      <c r="M22" s="70">
        <v>20</v>
      </c>
      <c r="N22" s="70">
        <v>34</v>
      </c>
      <c r="O22" s="68" t="s">
        <v>268</v>
      </c>
      <c r="P22">
        <f t="shared" si="0"/>
        <v>309</v>
      </c>
      <c r="Q22">
        <f t="shared" si="1"/>
        <v>51.5</v>
      </c>
      <c r="R22">
        <f t="shared" si="2"/>
        <v>20.6</v>
      </c>
    </row>
    <row r="23" spans="1:33" x14ac:dyDescent="0.25">
      <c r="A23" s="68">
        <v>22</v>
      </c>
      <c r="B23" s="69" t="s">
        <v>27</v>
      </c>
      <c r="C23" s="70">
        <v>25</v>
      </c>
      <c r="D23" s="70">
        <v>27</v>
      </c>
      <c r="E23" s="70">
        <v>25</v>
      </c>
      <c r="F23" s="70">
        <v>25</v>
      </c>
      <c r="G23" s="70">
        <v>24</v>
      </c>
      <c r="H23" s="70">
        <v>12</v>
      </c>
      <c r="I23" s="70"/>
      <c r="J23" s="70"/>
      <c r="K23" s="70"/>
      <c r="L23" s="70"/>
      <c r="M23" s="70"/>
      <c r="N23" s="70"/>
      <c r="O23" s="68" t="s">
        <v>268</v>
      </c>
      <c r="P23">
        <f t="shared" si="0"/>
        <v>138</v>
      </c>
      <c r="Q23">
        <f t="shared" si="1"/>
        <v>23</v>
      </c>
      <c r="R23">
        <f t="shared" si="2"/>
        <v>9.2000000000000011</v>
      </c>
    </row>
    <row r="24" spans="1:33" x14ac:dyDescent="0.25">
      <c r="A24" s="68">
        <v>23</v>
      </c>
      <c r="B24" s="69" t="s">
        <v>28</v>
      </c>
      <c r="C24" s="70">
        <v>16</v>
      </c>
      <c r="D24" s="70">
        <v>14</v>
      </c>
      <c r="E24" s="70"/>
      <c r="F24" s="70"/>
      <c r="G24" s="70"/>
      <c r="H24" s="70"/>
      <c r="I24" s="70">
        <v>20</v>
      </c>
      <c r="J24" s="70"/>
      <c r="K24" s="70"/>
      <c r="L24" s="70"/>
      <c r="M24" s="70"/>
      <c r="N24" s="70"/>
      <c r="O24" s="68" t="s">
        <v>268</v>
      </c>
      <c r="P24">
        <f t="shared" si="0"/>
        <v>50</v>
      </c>
      <c r="Q24">
        <f t="shared" si="1"/>
        <v>8.3333333333333321</v>
      </c>
      <c r="R24">
        <f t="shared" si="2"/>
        <v>3.333333333333333</v>
      </c>
    </row>
    <row r="25" spans="1:33" x14ac:dyDescent="0.25">
      <c r="A25" s="68">
        <v>24</v>
      </c>
      <c r="B25" s="69" t="s">
        <v>29</v>
      </c>
      <c r="C25" s="70">
        <v>20</v>
      </c>
      <c r="D25" s="70">
        <v>29</v>
      </c>
      <c r="E25" s="70">
        <v>25</v>
      </c>
      <c r="F25" s="70">
        <v>18</v>
      </c>
      <c r="G25" s="70">
        <v>26</v>
      </c>
      <c r="H25" s="70">
        <v>26</v>
      </c>
      <c r="I25" s="70">
        <v>24</v>
      </c>
      <c r="J25" s="70"/>
      <c r="K25" s="70">
        <v>20</v>
      </c>
      <c r="L25" s="70">
        <v>26</v>
      </c>
      <c r="M25" s="70"/>
      <c r="N25" s="70"/>
      <c r="O25" s="68" t="s">
        <v>268</v>
      </c>
      <c r="P25">
        <f t="shared" si="0"/>
        <v>214</v>
      </c>
      <c r="Q25">
        <f t="shared" si="1"/>
        <v>35.666666666666671</v>
      </c>
      <c r="R25">
        <f t="shared" si="2"/>
        <v>14.266666666666669</v>
      </c>
    </row>
    <row r="26" spans="1:33" x14ac:dyDescent="0.25">
      <c r="A26" s="68">
        <v>25</v>
      </c>
      <c r="B26" s="69" t="s">
        <v>30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68" t="s">
        <v>268</v>
      </c>
      <c r="P26">
        <f t="shared" si="0"/>
        <v>0</v>
      </c>
      <c r="Q26">
        <f t="shared" si="1"/>
        <v>0</v>
      </c>
      <c r="R26">
        <f t="shared" si="2"/>
        <v>0</v>
      </c>
    </row>
    <row r="27" spans="1:33" x14ac:dyDescent="0.25">
      <c r="A27" s="68">
        <v>26</v>
      </c>
      <c r="B27" s="69" t="s">
        <v>31</v>
      </c>
      <c r="C27" s="70">
        <v>38</v>
      </c>
      <c r="D27" s="70">
        <v>32</v>
      </c>
      <c r="E27" s="70">
        <v>31</v>
      </c>
      <c r="F27" s="70">
        <v>28</v>
      </c>
      <c r="G27" s="70">
        <v>34</v>
      </c>
      <c r="H27" s="70">
        <v>25</v>
      </c>
      <c r="I27" s="70">
        <v>22</v>
      </c>
      <c r="J27" s="70">
        <v>29</v>
      </c>
      <c r="K27" s="70">
        <v>27</v>
      </c>
      <c r="L27" s="70">
        <v>26</v>
      </c>
      <c r="M27" s="70">
        <v>25</v>
      </c>
      <c r="N27" s="70">
        <v>34</v>
      </c>
      <c r="O27" s="68" t="s">
        <v>268</v>
      </c>
      <c r="P27">
        <f t="shared" si="0"/>
        <v>351</v>
      </c>
      <c r="Q27">
        <f t="shared" si="1"/>
        <v>58.5</v>
      </c>
      <c r="R27">
        <f t="shared" si="2"/>
        <v>23.400000000000002</v>
      </c>
    </row>
    <row r="28" spans="1:33" x14ac:dyDescent="0.25">
      <c r="A28" s="68">
        <v>27</v>
      </c>
      <c r="B28" s="69" t="s">
        <v>32</v>
      </c>
      <c r="C28" s="70">
        <v>31</v>
      </c>
      <c r="D28" s="70">
        <v>45</v>
      </c>
      <c r="E28" s="70">
        <v>31</v>
      </c>
      <c r="F28" s="70">
        <v>31</v>
      </c>
      <c r="G28" s="70">
        <v>36</v>
      </c>
      <c r="H28" s="70">
        <v>35</v>
      </c>
      <c r="I28" s="70">
        <v>23</v>
      </c>
      <c r="J28" s="70">
        <v>37</v>
      </c>
      <c r="K28" s="70">
        <v>34</v>
      </c>
      <c r="L28" s="70">
        <v>27</v>
      </c>
      <c r="M28" s="70">
        <v>33</v>
      </c>
      <c r="N28" s="70">
        <v>38</v>
      </c>
      <c r="O28" s="68" t="s">
        <v>268</v>
      </c>
      <c r="P28">
        <f t="shared" si="0"/>
        <v>401</v>
      </c>
      <c r="Q28">
        <f t="shared" si="1"/>
        <v>66.833333333333329</v>
      </c>
      <c r="R28">
        <f t="shared" si="2"/>
        <v>26.733333333333334</v>
      </c>
    </row>
    <row r="29" spans="1:33" x14ac:dyDescent="0.25">
      <c r="A29" s="68">
        <v>28</v>
      </c>
      <c r="B29" s="69" t="s">
        <v>33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68" t="s">
        <v>268</v>
      </c>
      <c r="P29">
        <f t="shared" si="0"/>
        <v>0</v>
      </c>
      <c r="Q29">
        <f t="shared" si="1"/>
        <v>0</v>
      </c>
      <c r="R29">
        <f t="shared" si="2"/>
        <v>0</v>
      </c>
    </row>
    <row r="30" spans="1:33" x14ac:dyDescent="0.25">
      <c r="A30" s="68">
        <v>29</v>
      </c>
      <c r="B30" s="71" t="s">
        <v>34</v>
      </c>
      <c r="C30" s="72"/>
      <c r="D30" s="72">
        <v>10</v>
      </c>
      <c r="E30" s="72">
        <v>13</v>
      </c>
      <c r="F30" s="72">
        <v>16</v>
      </c>
      <c r="G30" s="72">
        <v>23</v>
      </c>
      <c r="H30" s="72">
        <v>13</v>
      </c>
      <c r="I30" s="72"/>
      <c r="J30" s="72"/>
      <c r="K30" s="72"/>
      <c r="L30" s="72"/>
      <c r="M30" s="72"/>
      <c r="N30" s="72"/>
      <c r="O30" s="73" t="s">
        <v>268</v>
      </c>
      <c r="P30">
        <f t="shared" si="0"/>
        <v>75</v>
      </c>
      <c r="Q30">
        <f t="shared" si="1"/>
        <v>12.5</v>
      </c>
      <c r="R30">
        <f t="shared" si="2"/>
        <v>5</v>
      </c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</row>
    <row r="31" spans="1:33" x14ac:dyDescent="0.25">
      <c r="A31" s="68">
        <v>30</v>
      </c>
      <c r="B31" s="69" t="s">
        <v>35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68" t="s">
        <v>268</v>
      </c>
      <c r="P31">
        <f t="shared" si="0"/>
        <v>0</v>
      </c>
      <c r="Q31">
        <f t="shared" si="1"/>
        <v>0</v>
      </c>
      <c r="R31">
        <f t="shared" si="2"/>
        <v>0</v>
      </c>
    </row>
    <row r="32" spans="1:33" x14ac:dyDescent="0.25">
      <c r="A32" s="68">
        <v>31</v>
      </c>
      <c r="B32" s="69" t="s">
        <v>36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68" t="s">
        <v>268</v>
      </c>
      <c r="P32">
        <f t="shared" si="0"/>
        <v>0</v>
      </c>
      <c r="Q32">
        <f t="shared" si="1"/>
        <v>0</v>
      </c>
      <c r="R32">
        <f t="shared" si="2"/>
        <v>0</v>
      </c>
    </row>
    <row r="33" spans="1:33" x14ac:dyDescent="0.25">
      <c r="A33" s="68">
        <v>32</v>
      </c>
      <c r="B33" s="69" t="s">
        <v>37</v>
      </c>
      <c r="C33" s="70">
        <v>26</v>
      </c>
      <c r="D33" s="70">
        <v>23</v>
      </c>
      <c r="E33" s="70">
        <v>28</v>
      </c>
      <c r="F33" s="70">
        <v>25</v>
      </c>
      <c r="G33" s="70">
        <v>32</v>
      </c>
      <c r="H33" s="70">
        <v>25</v>
      </c>
      <c r="I33" s="70">
        <v>13</v>
      </c>
      <c r="J33" s="70">
        <v>22</v>
      </c>
      <c r="K33" s="70"/>
      <c r="L33" s="70">
        <v>20</v>
      </c>
      <c r="M33" s="70">
        <v>13</v>
      </c>
      <c r="N33" s="70">
        <v>20</v>
      </c>
      <c r="O33" s="68" t="s">
        <v>268</v>
      </c>
      <c r="P33">
        <f t="shared" si="0"/>
        <v>247</v>
      </c>
      <c r="Q33">
        <f t="shared" si="1"/>
        <v>41.166666666666671</v>
      </c>
      <c r="R33">
        <f t="shared" si="2"/>
        <v>16.466666666666669</v>
      </c>
    </row>
    <row r="34" spans="1:33" x14ac:dyDescent="0.25">
      <c r="A34" s="68">
        <v>33</v>
      </c>
      <c r="B34" s="69" t="s">
        <v>38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68" t="s">
        <v>268</v>
      </c>
      <c r="P34">
        <f t="shared" si="0"/>
        <v>0</v>
      </c>
      <c r="Q34">
        <f t="shared" si="1"/>
        <v>0</v>
      </c>
      <c r="R34">
        <f t="shared" si="2"/>
        <v>0</v>
      </c>
    </row>
    <row r="35" spans="1:33" x14ac:dyDescent="0.25">
      <c r="A35" s="68">
        <v>34</v>
      </c>
      <c r="B35" s="69" t="s">
        <v>39</v>
      </c>
      <c r="C35" s="70">
        <v>18</v>
      </c>
      <c r="D35" s="70">
        <v>17</v>
      </c>
      <c r="E35" s="70">
        <v>16</v>
      </c>
      <c r="F35" s="70">
        <v>20</v>
      </c>
      <c r="G35" s="70"/>
      <c r="H35" s="70">
        <v>16</v>
      </c>
      <c r="I35" s="70"/>
      <c r="J35" s="70">
        <v>25</v>
      </c>
      <c r="K35" s="70"/>
      <c r="L35" s="70">
        <v>26</v>
      </c>
      <c r="M35" s="70"/>
      <c r="N35" s="70"/>
      <c r="O35" s="68" t="s">
        <v>268</v>
      </c>
      <c r="P35">
        <f t="shared" si="0"/>
        <v>138</v>
      </c>
      <c r="Q35">
        <f t="shared" si="1"/>
        <v>23</v>
      </c>
      <c r="R35">
        <f t="shared" si="2"/>
        <v>9.2000000000000011</v>
      </c>
    </row>
    <row r="36" spans="1:33" x14ac:dyDescent="0.25">
      <c r="A36" s="68">
        <v>35</v>
      </c>
      <c r="B36" s="69" t="s">
        <v>40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68" t="s">
        <v>268</v>
      </c>
      <c r="P36">
        <f t="shared" si="0"/>
        <v>0</v>
      </c>
      <c r="Q36">
        <f t="shared" si="1"/>
        <v>0</v>
      </c>
      <c r="R36">
        <f t="shared" si="2"/>
        <v>0</v>
      </c>
    </row>
    <row r="37" spans="1:33" x14ac:dyDescent="0.25">
      <c r="A37" s="68">
        <v>36</v>
      </c>
      <c r="B37" s="71" t="s">
        <v>41</v>
      </c>
      <c r="C37" s="72">
        <v>24</v>
      </c>
      <c r="D37" s="72">
        <v>35</v>
      </c>
      <c r="E37" s="72">
        <v>23</v>
      </c>
      <c r="F37" s="72">
        <v>24</v>
      </c>
      <c r="G37" s="72">
        <v>34</v>
      </c>
      <c r="H37" s="72">
        <v>36</v>
      </c>
      <c r="I37" s="72">
        <v>32</v>
      </c>
      <c r="J37" s="72"/>
      <c r="K37" s="72"/>
      <c r="L37" s="72"/>
      <c r="M37" s="72"/>
      <c r="N37" s="72"/>
      <c r="O37" s="73" t="s">
        <v>268</v>
      </c>
      <c r="P37">
        <f t="shared" si="0"/>
        <v>208</v>
      </c>
      <c r="Q37">
        <f t="shared" si="1"/>
        <v>34.666666666666671</v>
      </c>
      <c r="R37">
        <f t="shared" si="2"/>
        <v>13.866666666666669</v>
      </c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</row>
    <row r="38" spans="1:33" x14ac:dyDescent="0.25">
      <c r="A38" s="68">
        <v>37</v>
      </c>
      <c r="B38" s="69" t="s">
        <v>42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68" t="s">
        <v>268</v>
      </c>
      <c r="P38">
        <f t="shared" si="0"/>
        <v>0</v>
      </c>
      <c r="Q38">
        <f t="shared" si="1"/>
        <v>0</v>
      </c>
      <c r="R38">
        <f t="shared" si="2"/>
        <v>0</v>
      </c>
    </row>
    <row r="39" spans="1:33" x14ac:dyDescent="0.25">
      <c r="A39" s="68">
        <v>38</v>
      </c>
      <c r="B39" s="69" t="s">
        <v>43</v>
      </c>
      <c r="C39" s="70">
        <v>19</v>
      </c>
      <c r="D39" s="70">
        <v>34</v>
      </c>
      <c r="E39" s="70">
        <v>20</v>
      </c>
      <c r="F39" s="70">
        <v>22</v>
      </c>
      <c r="G39" s="70">
        <v>24</v>
      </c>
      <c r="H39" s="70">
        <v>15</v>
      </c>
      <c r="I39" s="70">
        <v>11</v>
      </c>
      <c r="J39" s="70">
        <v>21</v>
      </c>
      <c r="K39" s="70">
        <v>15</v>
      </c>
      <c r="L39" s="70">
        <v>18</v>
      </c>
      <c r="M39" s="70"/>
      <c r="N39" s="70"/>
      <c r="O39" s="68" t="s">
        <v>268</v>
      </c>
      <c r="P39">
        <f t="shared" si="0"/>
        <v>199</v>
      </c>
      <c r="Q39">
        <f t="shared" si="1"/>
        <v>33.166666666666664</v>
      </c>
      <c r="R39">
        <f t="shared" si="2"/>
        <v>13.266666666666666</v>
      </c>
    </row>
    <row r="40" spans="1:33" x14ac:dyDescent="0.25">
      <c r="A40" s="68">
        <v>39</v>
      </c>
      <c r="B40" s="69" t="s">
        <v>44</v>
      </c>
      <c r="C40" s="70"/>
      <c r="D40" s="70">
        <v>25</v>
      </c>
      <c r="E40" s="70"/>
      <c r="F40" s="70"/>
      <c r="G40" s="70"/>
      <c r="H40" s="70"/>
      <c r="I40" s="70">
        <v>22</v>
      </c>
      <c r="J40" s="70">
        <v>20</v>
      </c>
      <c r="K40" s="70">
        <v>26</v>
      </c>
      <c r="L40" s="70">
        <v>28</v>
      </c>
      <c r="M40" s="70"/>
      <c r="N40" s="70"/>
      <c r="O40" s="68" t="s">
        <v>268</v>
      </c>
      <c r="P40">
        <f t="shared" si="0"/>
        <v>121</v>
      </c>
      <c r="Q40">
        <f t="shared" si="1"/>
        <v>20.166666666666664</v>
      </c>
      <c r="R40">
        <f t="shared" si="2"/>
        <v>8.0666666666666664</v>
      </c>
    </row>
    <row r="41" spans="1:33" x14ac:dyDescent="0.25">
      <c r="A41" s="68">
        <v>40</v>
      </c>
      <c r="B41" s="69" t="s">
        <v>45</v>
      </c>
      <c r="C41" s="70"/>
      <c r="D41" s="70">
        <v>42</v>
      </c>
      <c r="E41" s="70">
        <v>32</v>
      </c>
      <c r="F41" s="70">
        <v>40</v>
      </c>
      <c r="G41" s="70">
        <v>44</v>
      </c>
      <c r="H41" s="70">
        <v>23</v>
      </c>
      <c r="I41" s="70">
        <v>19</v>
      </c>
      <c r="J41" s="70">
        <v>26</v>
      </c>
      <c r="K41" s="70">
        <v>17</v>
      </c>
      <c r="L41" s="70">
        <v>22</v>
      </c>
      <c r="M41" s="70">
        <v>19</v>
      </c>
      <c r="N41" s="70">
        <v>26</v>
      </c>
      <c r="O41" s="68" t="s">
        <v>268</v>
      </c>
      <c r="P41">
        <f t="shared" si="0"/>
        <v>310</v>
      </c>
      <c r="Q41">
        <f t="shared" si="1"/>
        <v>51.666666666666671</v>
      </c>
      <c r="R41">
        <f t="shared" si="2"/>
        <v>20.666666666666671</v>
      </c>
    </row>
    <row r="42" spans="1:33" x14ac:dyDescent="0.25">
      <c r="A42" s="68">
        <v>41</v>
      </c>
      <c r="B42" s="69" t="s">
        <v>46</v>
      </c>
      <c r="C42" s="70"/>
      <c r="D42" s="70">
        <v>21</v>
      </c>
      <c r="E42" s="70">
        <v>15</v>
      </c>
      <c r="F42" s="70">
        <v>19</v>
      </c>
      <c r="G42" s="70">
        <v>24</v>
      </c>
      <c r="H42" s="70">
        <v>24</v>
      </c>
      <c r="I42" s="70">
        <v>17</v>
      </c>
      <c r="J42" s="70"/>
      <c r="K42" s="70">
        <v>24</v>
      </c>
      <c r="L42" s="70">
        <v>19</v>
      </c>
      <c r="M42" s="70"/>
      <c r="N42" s="70"/>
      <c r="O42" s="68" t="s">
        <v>268</v>
      </c>
      <c r="P42">
        <f t="shared" si="0"/>
        <v>163</v>
      </c>
      <c r="Q42">
        <f t="shared" si="1"/>
        <v>27.166666666666668</v>
      </c>
      <c r="R42">
        <f t="shared" si="2"/>
        <v>10.866666666666667</v>
      </c>
    </row>
    <row r="43" spans="1:33" x14ac:dyDescent="0.25">
      <c r="A43" s="68">
        <v>42</v>
      </c>
      <c r="B43" s="69" t="s">
        <v>47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68" t="s">
        <v>268</v>
      </c>
      <c r="P43">
        <f t="shared" si="0"/>
        <v>0</v>
      </c>
      <c r="Q43">
        <f t="shared" si="1"/>
        <v>0</v>
      </c>
      <c r="R43">
        <f t="shared" si="2"/>
        <v>0</v>
      </c>
    </row>
    <row r="44" spans="1:33" x14ac:dyDescent="0.25">
      <c r="A44" s="68">
        <v>43</v>
      </c>
      <c r="B44" s="69" t="s">
        <v>48</v>
      </c>
      <c r="C44" s="70"/>
      <c r="D44" s="70">
        <v>24</v>
      </c>
      <c r="E44" s="70">
        <v>26</v>
      </c>
      <c r="F44" s="70">
        <v>27</v>
      </c>
      <c r="G44" s="70">
        <v>30</v>
      </c>
      <c r="H44" s="70">
        <v>29</v>
      </c>
      <c r="I44" s="70">
        <v>23</v>
      </c>
      <c r="J44" s="70">
        <v>28</v>
      </c>
      <c r="K44" s="70">
        <v>34</v>
      </c>
      <c r="L44" s="70">
        <v>33</v>
      </c>
      <c r="M44" s="70">
        <v>25</v>
      </c>
      <c r="N44" s="70">
        <v>39</v>
      </c>
      <c r="O44" s="68" t="s">
        <v>268</v>
      </c>
      <c r="P44">
        <f t="shared" si="0"/>
        <v>318</v>
      </c>
      <c r="Q44">
        <f t="shared" si="1"/>
        <v>53</v>
      </c>
      <c r="R44">
        <f t="shared" si="2"/>
        <v>21.200000000000003</v>
      </c>
    </row>
    <row r="45" spans="1:33" x14ac:dyDescent="0.25">
      <c r="A45" s="68">
        <v>44</v>
      </c>
      <c r="B45" s="69" t="s">
        <v>49</v>
      </c>
      <c r="C45" s="70">
        <v>22</v>
      </c>
      <c r="D45" s="70">
        <v>20</v>
      </c>
      <c r="E45" s="70">
        <v>18</v>
      </c>
      <c r="F45" s="70">
        <v>22</v>
      </c>
      <c r="G45" s="70">
        <v>22</v>
      </c>
      <c r="H45" s="70">
        <v>17</v>
      </c>
      <c r="I45" s="70">
        <v>15</v>
      </c>
      <c r="J45" s="70">
        <v>23</v>
      </c>
      <c r="K45" s="70">
        <v>22</v>
      </c>
      <c r="L45" s="70">
        <v>26</v>
      </c>
      <c r="M45" s="70">
        <v>18</v>
      </c>
      <c r="N45" s="70">
        <v>28</v>
      </c>
      <c r="O45" s="68" t="s">
        <v>268</v>
      </c>
      <c r="P45">
        <f t="shared" si="0"/>
        <v>253</v>
      </c>
      <c r="Q45">
        <f t="shared" si="1"/>
        <v>42.166666666666671</v>
      </c>
      <c r="R45">
        <f t="shared" si="2"/>
        <v>16.866666666666671</v>
      </c>
    </row>
    <row r="46" spans="1:33" x14ac:dyDescent="0.25">
      <c r="A46" s="68">
        <v>45</v>
      </c>
      <c r="B46" s="69" t="s">
        <v>50</v>
      </c>
      <c r="C46" s="70">
        <v>32</v>
      </c>
      <c r="D46" s="70">
        <v>36</v>
      </c>
      <c r="E46" s="70">
        <v>28</v>
      </c>
      <c r="F46" s="70">
        <v>40</v>
      </c>
      <c r="G46" s="70">
        <v>38</v>
      </c>
      <c r="H46" s="70">
        <v>25</v>
      </c>
      <c r="I46" s="70">
        <v>15</v>
      </c>
      <c r="J46" s="70"/>
      <c r="K46" s="70">
        <v>34</v>
      </c>
      <c r="L46" s="70"/>
      <c r="M46" s="70"/>
      <c r="N46" s="70"/>
      <c r="O46" s="68" t="s">
        <v>268</v>
      </c>
      <c r="P46">
        <f t="shared" si="0"/>
        <v>248</v>
      </c>
      <c r="Q46">
        <f t="shared" si="1"/>
        <v>41.333333333333336</v>
      </c>
      <c r="R46">
        <f t="shared" si="2"/>
        <v>16.533333333333335</v>
      </c>
    </row>
    <row r="47" spans="1:33" x14ac:dyDescent="0.25">
      <c r="A47" s="68">
        <v>46</v>
      </c>
      <c r="B47" s="69" t="s">
        <v>51</v>
      </c>
      <c r="C47" s="70">
        <v>30</v>
      </c>
      <c r="D47" s="70">
        <v>28</v>
      </c>
      <c r="E47" s="70">
        <v>26</v>
      </c>
      <c r="F47" s="70">
        <v>23</v>
      </c>
      <c r="G47" s="70">
        <v>25</v>
      </c>
      <c r="H47" s="70">
        <v>27</v>
      </c>
      <c r="I47" s="70">
        <v>16</v>
      </c>
      <c r="J47" s="70">
        <v>27</v>
      </c>
      <c r="K47" s="70">
        <v>23</v>
      </c>
      <c r="L47" s="70">
        <v>20</v>
      </c>
      <c r="M47" s="70">
        <v>24</v>
      </c>
      <c r="N47" s="70">
        <v>30</v>
      </c>
      <c r="O47" s="68" t="s">
        <v>268</v>
      </c>
      <c r="P47">
        <f t="shared" si="0"/>
        <v>299</v>
      </c>
      <c r="Q47">
        <f t="shared" si="1"/>
        <v>49.833333333333336</v>
      </c>
      <c r="R47">
        <f t="shared" si="2"/>
        <v>19.933333333333337</v>
      </c>
    </row>
    <row r="48" spans="1:33" x14ac:dyDescent="0.25">
      <c r="A48" s="68">
        <v>47</v>
      </c>
      <c r="B48" s="69" t="s">
        <v>52</v>
      </c>
      <c r="C48" s="70"/>
      <c r="D48" s="70"/>
      <c r="E48" s="70"/>
      <c r="F48" s="70">
        <v>19</v>
      </c>
      <c r="G48" s="70">
        <v>22</v>
      </c>
      <c r="H48" s="70">
        <v>22</v>
      </c>
      <c r="I48" s="70"/>
      <c r="J48" s="70"/>
      <c r="K48" s="70"/>
      <c r="L48" s="70"/>
      <c r="M48" s="70"/>
      <c r="N48" s="70"/>
      <c r="O48" s="68" t="s">
        <v>268</v>
      </c>
      <c r="P48">
        <f t="shared" si="0"/>
        <v>63</v>
      </c>
      <c r="Q48">
        <f t="shared" si="1"/>
        <v>10.5</v>
      </c>
      <c r="R48">
        <f t="shared" si="2"/>
        <v>4.2</v>
      </c>
    </row>
    <row r="49" spans="1:33" x14ac:dyDescent="0.25">
      <c r="A49" s="68">
        <v>48</v>
      </c>
      <c r="B49" s="69" t="s">
        <v>53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68" t="s">
        <v>268</v>
      </c>
      <c r="P49">
        <f t="shared" si="0"/>
        <v>0</v>
      </c>
      <c r="Q49">
        <f t="shared" si="1"/>
        <v>0</v>
      </c>
      <c r="R49">
        <f t="shared" si="2"/>
        <v>0</v>
      </c>
    </row>
    <row r="50" spans="1:33" x14ac:dyDescent="0.25">
      <c r="A50" s="68">
        <v>49</v>
      </c>
      <c r="B50" s="69" t="s">
        <v>54</v>
      </c>
      <c r="C50" s="70">
        <v>23</v>
      </c>
      <c r="D50" s="70">
        <v>32</v>
      </c>
      <c r="E50" s="70">
        <v>20</v>
      </c>
      <c r="F50" s="70">
        <v>23</v>
      </c>
      <c r="G50" s="70">
        <v>23</v>
      </c>
      <c r="H50" s="70">
        <v>23</v>
      </c>
      <c r="I50" s="70">
        <v>22</v>
      </c>
      <c r="J50" s="70">
        <v>26</v>
      </c>
      <c r="K50" s="70">
        <v>25</v>
      </c>
      <c r="L50" s="70">
        <v>24</v>
      </c>
      <c r="M50" s="70">
        <v>19</v>
      </c>
      <c r="N50" s="70">
        <v>28</v>
      </c>
      <c r="O50" s="68" t="s">
        <v>268</v>
      </c>
      <c r="P50">
        <f t="shared" si="0"/>
        <v>288</v>
      </c>
      <c r="Q50">
        <f t="shared" si="1"/>
        <v>48</v>
      </c>
      <c r="R50">
        <f t="shared" si="2"/>
        <v>19.200000000000003</v>
      </c>
    </row>
    <row r="51" spans="1:33" x14ac:dyDescent="0.25">
      <c r="A51" s="68">
        <v>50</v>
      </c>
      <c r="B51" s="71" t="s">
        <v>55</v>
      </c>
      <c r="C51" s="72"/>
      <c r="D51" s="72"/>
      <c r="E51" s="72"/>
      <c r="F51" s="72"/>
      <c r="G51" s="72"/>
      <c r="H51" s="72"/>
      <c r="I51" s="72">
        <v>23</v>
      </c>
      <c r="J51" s="72">
        <v>39</v>
      </c>
      <c r="K51" s="72">
        <v>40</v>
      </c>
      <c r="L51" s="72">
        <v>30</v>
      </c>
      <c r="M51" s="72">
        <v>30</v>
      </c>
      <c r="N51" s="72">
        <v>36</v>
      </c>
      <c r="O51" s="73" t="s">
        <v>268</v>
      </c>
      <c r="P51">
        <f t="shared" si="0"/>
        <v>198</v>
      </c>
      <c r="Q51">
        <f t="shared" si="1"/>
        <v>33</v>
      </c>
      <c r="R51">
        <f t="shared" si="2"/>
        <v>13.200000000000001</v>
      </c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</row>
    <row r="52" spans="1:33" x14ac:dyDescent="0.25">
      <c r="A52" s="68">
        <v>51</v>
      </c>
      <c r="B52" s="69" t="s">
        <v>56</v>
      </c>
      <c r="C52" s="70">
        <v>24</v>
      </c>
      <c r="D52" s="70">
        <v>21</v>
      </c>
      <c r="E52" s="70">
        <v>17</v>
      </c>
      <c r="F52" s="70">
        <v>24</v>
      </c>
      <c r="G52" s="70"/>
      <c r="H52" s="70">
        <v>16</v>
      </c>
      <c r="I52" s="70"/>
      <c r="J52" s="70">
        <v>23</v>
      </c>
      <c r="K52" s="70"/>
      <c r="L52" s="70"/>
      <c r="M52" s="70">
        <v>19</v>
      </c>
      <c r="N52" s="70">
        <v>15</v>
      </c>
      <c r="O52" s="68" t="s">
        <v>268</v>
      </c>
      <c r="P52">
        <f t="shared" si="0"/>
        <v>159</v>
      </c>
      <c r="Q52">
        <f t="shared" si="1"/>
        <v>26.5</v>
      </c>
      <c r="R52">
        <f t="shared" si="2"/>
        <v>10.600000000000001</v>
      </c>
    </row>
    <row r="53" spans="1:33" x14ac:dyDescent="0.25">
      <c r="A53" s="68">
        <v>52</v>
      </c>
      <c r="B53" s="69" t="s">
        <v>57</v>
      </c>
      <c r="C53" s="70">
        <v>14</v>
      </c>
      <c r="D53" s="70">
        <v>25</v>
      </c>
      <c r="E53" s="70">
        <v>23</v>
      </c>
      <c r="F53" s="70">
        <v>21</v>
      </c>
      <c r="G53" s="70">
        <v>21</v>
      </c>
      <c r="H53" s="70">
        <v>22</v>
      </c>
      <c r="I53" s="70"/>
      <c r="J53" s="70">
        <v>17</v>
      </c>
      <c r="K53" s="70"/>
      <c r="L53" s="70"/>
      <c r="M53" s="70">
        <v>29</v>
      </c>
      <c r="N53" s="70">
        <v>31</v>
      </c>
      <c r="O53" s="68" t="s">
        <v>268</v>
      </c>
      <c r="P53">
        <f t="shared" si="0"/>
        <v>203</v>
      </c>
      <c r="Q53">
        <f t="shared" si="1"/>
        <v>33.833333333333329</v>
      </c>
      <c r="R53">
        <f t="shared" si="2"/>
        <v>13.533333333333331</v>
      </c>
    </row>
    <row r="54" spans="1:33" x14ac:dyDescent="0.25">
      <c r="A54" s="68">
        <v>53</v>
      </c>
      <c r="B54" s="69" t="s">
        <v>58</v>
      </c>
      <c r="C54" s="70">
        <v>21</v>
      </c>
      <c r="D54" s="70">
        <v>26</v>
      </c>
      <c r="E54" s="70">
        <v>27</v>
      </c>
      <c r="F54" s="70">
        <v>22</v>
      </c>
      <c r="G54" s="70">
        <v>36</v>
      </c>
      <c r="H54" s="70">
        <v>22</v>
      </c>
      <c r="I54" s="70"/>
      <c r="J54" s="70"/>
      <c r="K54" s="70"/>
      <c r="L54" s="70"/>
      <c r="M54" s="70"/>
      <c r="N54" s="70"/>
      <c r="O54" s="68" t="s">
        <v>268</v>
      </c>
      <c r="P54">
        <f t="shared" si="0"/>
        <v>154</v>
      </c>
      <c r="Q54">
        <f t="shared" si="1"/>
        <v>25.666666666666664</v>
      </c>
      <c r="R54">
        <f t="shared" si="2"/>
        <v>10.266666666666666</v>
      </c>
    </row>
    <row r="55" spans="1:33" x14ac:dyDescent="0.25">
      <c r="A55" s="68">
        <v>54</v>
      </c>
      <c r="B55" s="69" t="s">
        <v>59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68" t="s">
        <v>268</v>
      </c>
      <c r="P55">
        <f t="shared" si="0"/>
        <v>0</v>
      </c>
      <c r="Q55">
        <f t="shared" si="1"/>
        <v>0</v>
      </c>
      <c r="R55">
        <f t="shared" si="2"/>
        <v>0</v>
      </c>
    </row>
    <row r="56" spans="1:33" x14ac:dyDescent="0.25">
      <c r="A56" s="68">
        <v>55</v>
      </c>
      <c r="B56" s="69" t="s">
        <v>60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68" t="s">
        <v>268</v>
      </c>
      <c r="P56">
        <f t="shared" si="0"/>
        <v>0</v>
      </c>
      <c r="Q56">
        <f t="shared" si="1"/>
        <v>0</v>
      </c>
      <c r="R56">
        <f t="shared" si="2"/>
        <v>0</v>
      </c>
    </row>
    <row r="57" spans="1:33" x14ac:dyDescent="0.25">
      <c r="A57" s="68">
        <v>56</v>
      </c>
      <c r="B57" s="69" t="s">
        <v>61</v>
      </c>
      <c r="C57" s="70">
        <v>28</v>
      </c>
      <c r="D57" s="70">
        <v>31</v>
      </c>
      <c r="E57" s="70">
        <v>24</v>
      </c>
      <c r="F57" s="70">
        <v>20</v>
      </c>
      <c r="G57" s="70">
        <v>19</v>
      </c>
      <c r="H57" s="70"/>
      <c r="I57" s="70">
        <v>17</v>
      </c>
      <c r="J57" s="70">
        <v>23</v>
      </c>
      <c r="K57" s="70">
        <v>22</v>
      </c>
      <c r="L57" s="70">
        <v>27</v>
      </c>
      <c r="M57" s="70">
        <v>22</v>
      </c>
      <c r="N57" s="70">
        <v>34</v>
      </c>
      <c r="O57" s="68" t="s">
        <v>268</v>
      </c>
      <c r="P57">
        <f t="shared" si="0"/>
        <v>267</v>
      </c>
      <c r="Q57">
        <f t="shared" si="1"/>
        <v>44.5</v>
      </c>
      <c r="R57">
        <f t="shared" si="2"/>
        <v>17.8</v>
      </c>
    </row>
    <row r="58" spans="1:33" x14ac:dyDescent="0.25">
      <c r="A58" s="68">
        <v>57</v>
      </c>
      <c r="B58" s="69" t="s">
        <v>62</v>
      </c>
      <c r="C58" s="70">
        <v>24</v>
      </c>
      <c r="D58" s="70">
        <v>22</v>
      </c>
      <c r="E58" s="70">
        <v>17</v>
      </c>
      <c r="F58" s="70"/>
      <c r="G58" s="70"/>
      <c r="H58" s="70">
        <v>20</v>
      </c>
      <c r="I58" s="70">
        <v>15</v>
      </c>
      <c r="J58" s="70">
        <v>32</v>
      </c>
      <c r="K58" s="70">
        <v>21</v>
      </c>
      <c r="L58" s="70">
        <v>29</v>
      </c>
      <c r="M58" s="70">
        <v>37</v>
      </c>
      <c r="N58" s="70">
        <v>35</v>
      </c>
      <c r="O58" s="68" t="s">
        <v>268</v>
      </c>
      <c r="P58">
        <f t="shared" si="0"/>
        <v>252</v>
      </c>
      <c r="Q58">
        <f t="shared" si="1"/>
        <v>42</v>
      </c>
      <c r="R58">
        <f t="shared" si="2"/>
        <v>16.8</v>
      </c>
    </row>
    <row r="59" spans="1:33" x14ac:dyDescent="0.25">
      <c r="A59" s="68">
        <v>58</v>
      </c>
      <c r="B59" s="69" t="s">
        <v>63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68" t="s">
        <v>268</v>
      </c>
      <c r="P59">
        <f t="shared" si="0"/>
        <v>0</v>
      </c>
      <c r="Q59">
        <f t="shared" si="1"/>
        <v>0</v>
      </c>
      <c r="R59">
        <f t="shared" si="2"/>
        <v>0</v>
      </c>
    </row>
    <row r="60" spans="1:33" x14ac:dyDescent="0.25">
      <c r="A60" s="68">
        <v>59</v>
      </c>
      <c r="B60" s="69" t="s">
        <v>64</v>
      </c>
      <c r="C60" s="70"/>
      <c r="D60" s="70">
        <v>19</v>
      </c>
      <c r="E60" s="70">
        <v>10</v>
      </c>
      <c r="F60" s="70">
        <v>22</v>
      </c>
      <c r="G60" s="70">
        <v>23</v>
      </c>
      <c r="H60" s="70">
        <v>14</v>
      </c>
      <c r="I60" s="70">
        <v>24</v>
      </c>
      <c r="J60" s="70"/>
      <c r="K60" s="70">
        <v>19</v>
      </c>
      <c r="L60" s="70">
        <v>21</v>
      </c>
      <c r="M60" s="70"/>
      <c r="N60" s="70">
        <v>26</v>
      </c>
      <c r="O60" s="68" t="s">
        <v>268</v>
      </c>
      <c r="P60">
        <f t="shared" si="0"/>
        <v>178</v>
      </c>
      <c r="Q60">
        <f t="shared" si="1"/>
        <v>29.666666666666668</v>
      </c>
      <c r="R60">
        <f t="shared" si="2"/>
        <v>11.866666666666667</v>
      </c>
    </row>
    <row r="61" spans="1:33" x14ac:dyDescent="0.25">
      <c r="A61" s="68">
        <v>60</v>
      </c>
      <c r="B61" s="69" t="s">
        <v>65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68" t="s">
        <v>268</v>
      </c>
      <c r="P61">
        <f t="shared" si="0"/>
        <v>0</v>
      </c>
      <c r="Q61">
        <f t="shared" si="1"/>
        <v>0</v>
      </c>
      <c r="R61">
        <f t="shared" si="2"/>
        <v>0</v>
      </c>
    </row>
    <row r="62" spans="1:33" x14ac:dyDescent="0.25">
      <c r="A62" s="68">
        <v>61</v>
      </c>
      <c r="B62" s="69" t="s">
        <v>66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68" t="s">
        <v>268</v>
      </c>
      <c r="P62">
        <f t="shared" si="0"/>
        <v>0</v>
      </c>
      <c r="Q62">
        <f t="shared" si="1"/>
        <v>0</v>
      </c>
      <c r="R62">
        <f t="shared" si="2"/>
        <v>0</v>
      </c>
    </row>
    <row r="63" spans="1:33" x14ac:dyDescent="0.25">
      <c r="A63" s="68">
        <v>1</v>
      </c>
      <c r="B63" s="69" t="s">
        <v>67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68" t="s">
        <v>269</v>
      </c>
      <c r="P63">
        <f t="shared" si="0"/>
        <v>0</v>
      </c>
      <c r="Q63">
        <f t="shared" si="1"/>
        <v>0</v>
      </c>
      <c r="R63">
        <f t="shared" si="2"/>
        <v>0</v>
      </c>
    </row>
    <row r="64" spans="1:33" x14ac:dyDescent="0.25">
      <c r="A64" s="68">
        <v>2</v>
      </c>
      <c r="B64" s="69" t="s">
        <v>68</v>
      </c>
      <c r="C64" s="70"/>
      <c r="D64" s="70"/>
      <c r="E64" s="70"/>
      <c r="F64" s="70"/>
      <c r="G64" s="70"/>
      <c r="H64" s="70"/>
      <c r="I64" s="70"/>
      <c r="J64" s="70">
        <v>29</v>
      </c>
      <c r="K64" s="70"/>
      <c r="L64" s="70">
        <v>22</v>
      </c>
      <c r="M64" s="70">
        <v>20</v>
      </c>
      <c r="N64" s="70"/>
      <c r="O64" s="68" t="s">
        <v>270</v>
      </c>
      <c r="P64">
        <f t="shared" si="0"/>
        <v>71</v>
      </c>
      <c r="Q64">
        <f t="shared" si="1"/>
        <v>11.833333333333334</v>
      </c>
      <c r="R64">
        <f t="shared" si="2"/>
        <v>4.7333333333333334</v>
      </c>
    </row>
    <row r="65" spans="1:18" x14ac:dyDescent="0.25">
      <c r="A65" s="68">
        <v>3</v>
      </c>
      <c r="B65" s="69" t="s">
        <v>69</v>
      </c>
      <c r="C65" s="70">
        <v>26</v>
      </c>
      <c r="D65" s="70">
        <v>23</v>
      </c>
      <c r="E65" s="70">
        <v>28</v>
      </c>
      <c r="F65" s="70">
        <v>25</v>
      </c>
      <c r="G65" s="70">
        <v>29</v>
      </c>
      <c r="H65" s="70">
        <v>26</v>
      </c>
      <c r="I65" s="70"/>
      <c r="J65" s="70"/>
      <c r="K65" s="70"/>
      <c r="L65" s="70"/>
      <c r="M65" s="70"/>
      <c r="N65" s="70"/>
      <c r="O65" s="68" t="s">
        <v>271</v>
      </c>
      <c r="P65">
        <f t="shared" si="0"/>
        <v>157</v>
      </c>
      <c r="Q65">
        <f t="shared" si="1"/>
        <v>26.166666666666664</v>
      </c>
      <c r="R65">
        <f t="shared" si="2"/>
        <v>10.466666666666667</v>
      </c>
    </row>
    <row r="66" spans="1:18" x14ac:dyDescent="0.25">
      <c r="A66" s="68">
        <v>4</v>
      </c>
      <c r="B66" s="69" t="s">
        <v>70</v>
      </c>
      <c r="C66" s="70">
        <v>26</v>
      </c>
      <c r="D66" s="70">
        <v>28</v>
      </c>
      <c r="E66" s="70">
        <v>19</v>
      </c>
      <c r="F66" s="70">
        <v>22</v>
      </c>
      <c r="G66" s="70">
        <v>16</v>
      </c>
      <c r="H66" s="70">
        <v>17</v>
      </c>
      <c r="I66" s="70"/>
      <c r="J66" s="70"/>
      <c r="K66" s="70"/>
      <c r="L66" s="70"/>
      <c r="M66" s="70"/>
      <c r="N66" s="70"/>
      <c r="O66" s="68" t="s">
        <v>270</v>
      </c>
      <c r="P66">
        <f t="shared" si="0"/>
        <v>128</v>
      </c>
      <c r="Q66">
        <f t="shared" si="1"/>
        <v>21.333333333333336</v>
      </c>
      <c r="R66">
        <f t="shared" si="2"/>
        <v>8.533333333333335</v>
      </c>
    </row>
    <row r="67" spans="1:18" x14ac:dyDescent="0.25">
      <c r="A67" s="68">
        <v>1</v>
      </c>
      <c r="B67" s="69" t="s">
        <v>71</v>
      </c>
      <c r="C67" s="70">
        <v>29</v>
      </c>
      <c r="D67" s="70">
        <v>26</v>
      </c>
      <c r="E67" s="70">
        <v>19</v>
      </c>
      <c r="F67" s="70">
        <v>12</v>
      </c>
      <c r="G67" s="70"/>
      <c r="H67" s="70">
        <v>24</v>
      </c>
      <c r="I67" s="70">
        <v>25</v>
      </c>
      <c r="J67" s="70">
        <v>31</v>
      </c>
      <c r="K67" s="70">
        <v>28</v>
      </c>
      <c r="L67" s="70"/>
      <c r="M67" s="70">
        <v>15</v>
      </c>
      <c r="N67" s="70">
        <v>30</v>
      </c>
      <c r="O67" s="68" t="s">
        <v>272</v>
      </c>
      <c r="P67">
        <f t="shared" ref="P67:P130" si="3">SUM(C67:N67)</f>
        <v>239</v>
      </c>
      <c r="Q67">
        <f t="shared" ref="Q67:Q130" si="4">(P67/600)*100</f>
        <v>39.833333333333329</v>
      </c>
      <c r="R67">
        <f t="shared" ref="R67:R130" si="5">Q67*0.4</f>
        <v>15.933333333333332</v>
      </c>
    </row>
    <row r="68" spans="1:18" x14ac:dyDescent="0.25">
      <c r="A68" s="68">
        <v>2</v>
      </c>
      <c r="B68" s="69" t="s">
        <v>72</v>
      </c>
      <c r="C68" s="70">
        <v>23</v>
      </c>
      <c r="D68" s="70">
        <v>18</v>
      </c>
      <c r="E68" s="70">
        <v>16</v>
      </c>
      <c r="F68" s="70">
        <v>24</v>
      </c>
      <c r="G68" s="70">
        <v>16</v>
      </c>
      <c r="H68" s="70">
        <v>20</v>
      </c>
      <c r="I68" s="70">
        <v>26</v>
      </c>
      <c r="J68" s="70">
        <v>14</v>
      </c>
      <c r="K68" s="70">
        <v>17</v>
      </c>
      <c r="L68" s="70">
        <v>20</v>
      </c>
      <c r="M68" s="70">
        <v>16</v>
      </c>
      <c r="N68" s="70">
        <v>22</v>
      </c>
      <c r="O68" s="68" t="s">
        <v>272</v>
      </c>
      <c r="P68">
        <f t="shared" si="3"/>
        <v>232</v>
      </c>
      <c r="Q68">
        <f t="shared" si="4"/>
        <v>38.666666666666664</v>
      </c>
      <c r="R68">
        <f t="shared" si="5"/>
        <v>15.466666666666667</v>
      </c>
    </row>
    <row r="69" spans="1:18" x14ac:dyDescent="0.25">
      <c r="A69" s="68">
        <v>3</v>
      </c>
      <c r="B69" s="69" t="s">
        <v>73</v>
      </c>
      <c r="C69" s="70">
        <v>23</v>
      </c>
      <c r="D69" s="70">
        <v>26</v>
      </c>
      <c r="E69" s="70">
        <v>13</v>
      </c>
      <c r="F69" s="70"/>
      <c r="G69" s="70">
        <v>18</v>
      </c>
      <c r="H69" s="70">
        <v>23</v>
      </c>
      <c r="I69" s="70">
        <v>29</v>
      </c>
      <c r="J69" s="70">
        <v>30</v>
      </c>
      <c r="K69" s="70">
        <v>29</v>
      </c>
      <c r="L69" s="70">
        <v>28</v>
      </c>
      <c r="M69" s="70">
        <v>25</v>
      </c>
      <c r="N69" s="70">
        <v>30</v>
      </c>
      <c r="O69" s="68" t="s">
        <v>272</v>
      </c>
      <c r="P69">
        <f t="shared" si="3"/>
        <v>274</v>
      </c>
      <c r="Q69">
        <f t="shared" si="4"/>
        <v>45.666666666666664</v>
      </c>
      <c r="R69">
        <f t="shared" si="5"/>
        <v>18.266666666666666</v>
      </c>
    </row>
    <row r="70" spans="1:18" x14ac:dyDescent="0.25">
      <c r="A70" s="68">
        <v>4</v>
      </c>
      <c r="B70" s="69" t="s">
        <v>74</v>
      </c>
      <c r="C70" s="70">
        <v>30</v>
      </c>
      <c r="D70" s="70">
        <v>27</v>
      </c>
      <c r="E70" s="70">
        <v>25</v>
      </c>
      <c r="F70" s="70"/>
      <c r="G70" s="70">
        <v>29</v>
      </c>
      <c r="H70" s="70"/>
      <c r="I70" s="70">
        <v>16</v>
      </c>
      <c r="J70" s="70"/>
      <c r="K70" s="70">
        <v>29</v>
      </c>
      <c r="L70" s="70">
        <v>22</v>
      </c>
      <c r="M70" s="70">
        <v>25</v>
      </c>
      <c r="N70" s="70"/>
      <c r="O70" s="68" t="s">
        <v>272</v>
      </c>
      <c r="P70">
        <f t="shared" si="3"/>
        <v>203</v>
      </c>
      <c r="Q70">
        <f t="shared" si="4"/>
        <v>33.833333333333329</v>
      </c>
      <c r="R70">
        <f t="shared" si="5"/>
        <v>13.533333333333331</v>
      </c>
    </row>
    <row r="71" spans="1:18" x14ac:dyDescent="0.25">
      <c r="A71" s="68">
        <v>5</v>
      </c>
      <c r="B71" s="69" t="s">
        <v>75</v>
      </c>
      <c r="C71" s="70">
        <v>47</v>
      </c>
      <c r="D71" s="70">
        <v>33</v>
      </c>
      <c r="E71" s="70">
        <v>44</v>
      </c>
      <c r="F71" s="70">
        <v>47</v>
      </c>
      <c r="G71" s="70">
        <v>46</v>
      </c>
      <c r="H71" s="70">
        <v>41</v>
      </c>
      <c r="I71" s="70">
        <v>36</v>
      </c>
      <c r="J71" s="70">
        <v>43</v>
      </c>
      <c r="K71" s="70">
        <v>44</v>
      </c>
      <c r="L71" s="70">
        <v>32</v>
      </c>
      <c r="M71" s="70"/>
      <c r="N71" s="70"/>
      <c r="O71" s="68" t="s">
        <v>272</v>
      </c>
      <c r="P71">
        <f t="shared" si="3"/>
        <v>413</v>
      </c>
      <c r="Q71">
        <f t="shared" si="4"/>
        <v>68.833333333333329</v>
      </c>
      <c r="R71">
        <f t="shared" si="5"/>
        <v>27.533333333333331</v>
      </c>
    </row>
    <row r="72" spans="1:18" x14ac:dyDescent="0.25">
      <c r="A72" s="68">
        <v>6</v>
      </c>
      <c r="B72" s="69" t="s">
        <v>76</v>
      </c>
      <c r="C72" s="70">
        <v>25</v>
      </c>
      <c r="D72" s="70">
        <v>15</v>
      </c>
      <c r="E72" s="70">
        <v>34</v>
      </c>
      <c r="F72" s="70">
        <v>36</v>
      </c>
      <c r="G72" s="70">
        <v>41</v>
      </c>
      <c r="H72" s="70">
        <v>15</v>
      </c>
      <c r="I72" s="70">
        <v>18</v>
      </c>
      <c r="J72" s="70">
        <v>29</v>
      </c>
      <c r="K72" s="70">
        <v>32</v>
      </c>
      <c r="L72" s="70">
        <v>18</v>
      </c>
      <c r="M72" s="70">
        <v>15</v>
      </c>
      <c r="N72" s="70">
        <v>22</v>
      </c>
      <c r="O72" s="68" t="s">
        <v>272</v>
      </c>
      <c r="P72">
        <f t="shared" si="3"/>
        <v>300</v>
      </c>
      <c r="Q72">
        <f t="shared" si="4"/>
        <v>50</v>
      </c>
      <c r="R72">
        <f t="shared" si="5"/>
        <v>20</v>
      </c>
    </row>
    <row r="73" spans="1:18" x14ac:dyDescent="0.25">
      <c r="A73" s="68">
        <v>7</v>
      </c>
      <c r="B73" s="69" t="s">
        <v>77</v>
      </c>
      <c r="C73" s="70">
        <v>41</v>
      </c>
      <c r="D73" s="70">
        <v>39</v>
      </c>
      <c r="E73" s="70">
        <v>42</v>
      </c>
      <c r="F73" s="70">
        <v>46</v>
      </c>
      <c r="G73" s="70">
        <v>45</v>
      </c>
      <c r="H73" s="70">
        <v>31</v>
      </c>
      <c r="I73" s="70">
        <v>39</v>
      </c>
      <c r="J73" s="70">
        <v>45</v>
      </c>
      <c r="K73" s="70">
        <v>43</v>
      </c>
      <c r="L73" s="70">
        <v>34</v>
      </c>
      <c r="M73" s="70">
        <v>35</v>
      </c>
      <c r="N73" s="70">
        <v>44</v>
      </c>
      <c r="O73" s="68" t="s">
        <v>272</v>
      </c>
      <c r="P73">
        <f t="shared" si="3"/>
        <v>484</v>
      </c>
      <c r="Q73">
        <f t="shared" si="4"/>
        <v>80.666666666666657</v>
      </c>
      <c r="R73">
        <f t="shared" si="5"/>
        <v>32.266666666666666</v>
      </c>
    </row>
    <row r="74" spans="1:18" x14ac:dyDescent="0.25">
      <c r="A74" s="68">
        <v>8</v>
      </c>
      <c r="B74" s="69" t="s">
        <v>78</v>
      </c>
      <c r="C74" s="70"/>
      <c r="D74" s="70"/>
      <c r="E74" s="70"/>
      <c r="F74" s="70"/>
      <c r="G74" s="70"/>
      <c r="H74" s="70"/>
      <c r="I74" s="70">
        <v>24</v>
      </c>
      <c r="J74" s="70">
        <v>20</v>
      </c>
      <c r="K74" s="70">
        <v>17</v>
      </c>
      <c r="L74" s="70">
        <v>22</v>
      </c>
      <c r="M74" s="70">
        <v>30</v>
      </c>
      <c r="N74" s="70">
        <v>26</v>
      </c>
      <c r="O74" s="68" t="s">
        <v>272</v>
      </c>
      <c r="P74">
        <f t="shared" si="3"/>
        <v>139</v>
      </c>
      <c r="Q74">
        <f t="shared" si="4"/>
        <v>23.166666666666664</v>
      </c>
      <c r="R74">
        <f t="shared" si="5"/>
        <v>9.2666666666666657</v>
      </c>
    </row>
    <row r="75" spans="1:18" x14ac:dyDescent="0.25">
      <c r="A75" s="68">
        <v>9</v>
      </c>
      <c r="B75" s="69" t="s">
        <v>79</v>
      </c>
      <c r="C75" s="70">
        <v>21</v>
      </c>
      <c r="D75" s="70">
        <v>31</v>
      </c>
      <c r="E75" s="70">
        <v>15</v>
      </c>
      <c r="F75" s="70">
        <v>19</v>
      </c>
      <c r="G75" s="70">
        <v>20</v>
      </c>
      <c r="H75" s="70">
        <v>19</v>
      </c>
      <c r="I75" s="70"/>
      <c r="J75" s="70">
        <v>22</v>
      </c>
      <c r="K75" s="70"/>
      <c r="L75" s="70">
        <v>18</v>
      </c>
      <c r="M75" s="70">
        <v>13</v>
      </c>
      <c r="N75" s="70">
        <v>26</v>
      </c>
      <c r="O75" s="68" t="s">
        <v>272</v>
      </c>
      <c r="P75">
        <f t="shared" si="3"/>
        <v>204</v>
      </c>
      <c r="Q75">
        <f t="shared" si="4"/>
        <v>34</v>
      </c>
      <c r="R75">
        <f t="shared" si="5"/>
        <v>13.600000000000001</v>
      </c>
    </row>
    <row r="76" spans="1:18" x14ac:dyDescent="0.25">
      <c r="A76" s="68">
        <v>10</v>
      </c>
      <c r="B76" s="69" t="s">
        <v>80</v>
      </c>
      <c r="C76" s="70">
        <v>37</v>
      </c>
      <c r="D76" s="70">
        <v>30</v>
      </c>
      <c r="E76" s="70">
        <v>35</v>
      </c>
      <c r="F76" s="70">
        <v>31</v>
      </c>
      <c r="G76" s="70">
        <v>41</v>
      </c>
      <c r="H76" s="70">
        <v>24</v>
      </c>
      <c r="I76" s="70">
        <v>13</v>
      </c>
      <c r="J76" s="70">
        <v>30</v>
      </c>
      <c r="K76" s="70">
        <v>25</v>
      </c>
      <c r="L76" s="70">
        <v>20</v>
      </c>
      <c r="M76" s="70">
        <v>28</v>
      </c>
      <c r="N76" s="70">
        <v>27</v>
      </c>
      <c r="O76" s="68" t="s">
        <v>272</v>
      </c>
      <c r="P76">
        <f t="shared" si="3"/>
        <v>341</v>
      </c>
      <c r="Q76">
        <f t="shared" si="4"/>
        <v>56.833333333333336</v>
      </c>
      <c r="R76">
        <f t="shared" si="5"/>
        <v>22.733333333333334</v>
      </c>
    </row>
    <row r="77" spans="1:18" x14ac:dyDescent="0.25">
      <c r="A77" s="68">
        <v>11</v>
      </c>
      <c r="B77" s="69" t="s">
        <v>81</v>
      </c>
      <c r="C77" s="70"/>
      <c r="D77" s="70">
        <v>29</v>
      </c>
      <c r="E77" s="70">
        <v>21</v>
      </c>
      <c r="F77" s="70">
        <v>18</v>
      </c>
      <c r="G77" s="70">
        <v>15</v>
      </c>
      <c r="H77" s="70">
        <v>17</v>
      </c>
      <c r="I77" s="70"/>
      <c r="J77" s="70"/>
      <c r="K77" s="70"/>
      <c r="L77" s="70"/>
      <c r="M77" s="70"/>
      <c r="N77" s="70"/>
      <c r="O77" s="68" t="s">
        <v>272</v>
      </c>
      <c r="P77">
        <f t="shared" si="3"/>
        <v>100</v>
      </c>
      <c r="Q77">
        <f t="shared" si="4"/>
        <v>16.666666666666664</v>
      </c>
      <c r="R77">
        <f t="shared" si="5"/>
        <v>6.6666666666666661</v>
      </c>
    </row>
    <row r="78" spans="1:18" x14ac:dyDescent="0.25">
      <c r="A78" s="68">
        <v>12</v>
      </c>
      <c r="B78" s="69" t="s">
        <v>82</v>
      </c>
      <c r="C78" s="70">
        <v>31</v>
      </c>
      <c r="D78" s="70">
        <v>28</v>
      </c>
      <c r="E78" s="70">
        <v>22</v>
      </c>
      <c r="F78" s="70">
        <v>23</v>
      </c>
      <c r="G78" s="70">
        <v>25</v>
      </c>
      <c r="H78" s="70">
        <v>16</v>
      </c>
      <c r="I78" s="70">
        <v>18</v>
      </c>
      <c r="J78" s="70">
        <v>28</v>
      </c>
      <c r="K78" s="70">
        <v>32</v>
      </c>
      <c r="L78" s="70">
        <v>22</v>
      </c>
      <c r="M78" s="70">
        <v>21</v>
      </c>
      <c r="N78" s="70">
        <v>25</v>
      </c>
      <c r="O78" s="68" t="s">
        <v>272</v>
      </c>
      <c r="P78">
        <f t="shared" si="3"/>
        <v>291</v>
      </c>
      <c r="Q78">
        <f t="shared" si="4"/>
        <v>48.5</v>
      </c>
      <c r="R78">
        <f t="shared" si="5"/>
        <v>19.400000000000002</v>
      </c>
    </row>
    <row r="79" spans="1:18" x14ac:dyDescent="0.25">
      <c r="A79" s="68">
        <v>13</v>
      </c>
      <c r="B79" s="69" t="s">
        <v>83</v>
      </c>
      <c r="C79" s="70">
        <v>23</v>
      </c>
      <c r="D79" s="70">
        <v>10</v>
      </c>
      <c r="E79" s="70">
        <v>16</v>
      </c>
      <c r="F79" s="70">
        <v>16</v>
      </c>
      <c r="G79" s="70">
        <v>21</v>
      </c>
      <c r="H79" s="70">
        <v>16</v>
      </c>
      <c r="I79" s="70">
        <v>18</v>
      </c>
      <c r="J79" s="70">
        <v>17</v>
      </c>
      <c r="K79" s="70">
        <v>14</v>
      </c>
      <c r="L79" s="70">
        <v>14</v>
      </c>
      <c r="M79" s="70">
        <v>11</v>
      </c>
      <c r="N79" s="70">
        <v>18</v>
      </c>
      <c r="O79" s="68" t="s">
        <v>272</v>
      </c>
      <c r="P79">
        <f t="shared" si="3"/>
        <v>194</v>
      </c>
      <c r="Q79">
        <f t="shared" si="4"/>
        <v>32.333333333333329</v>
      </c>
      <c r="R79">
        <f t="shared" si="5"/>
        <v>12.933333333333332</v>
      </c>
    </row>
    <row r="80" spans="1:18" x14ac:dyDescent="0.25">
      <c r="A80" s="68">
        <v>14</v>
      </c>
      <c r="B80" s="69" t="s">
        <v>84</v>
      </c>
      <c r="C80" s="70">
        <v>47</v>
      </c>
      <c r="D80" s="70">
        <v>36</v>
      </c>
      <c r="E80" s="70">
        <v>35</v>
      </c>
      <c r="F80" s="70">
        <v>49</v>
      </c>
      <c r="G80" s="70">
        <v>48</v>
      </c>
      <c r="H80" s="70">
        <v>30</v>
      </c>
      <c r="I80" s="70">
        <v>37</v>
      </c>
      <c r="J80" s="70">
        <v>44</v>
      </c>
      <c r="K80" s="70">
        <v>42</v>
      </c>
      <c r="L80" s="70">
        <v>33</v>
      </c>
      <c r="M80" s="70">
        <v>38</v>
      </c>
      <c r="N80" s="70">
        <v>45</v>
      </c>
      <c r="O80" s="68" t="s">
        <v>272</v>
      </c>
      <c r="P80">
        <f t="shared" si="3"/>
        <v>484</v>
      </c>
      <c r="Q80">
        <f t="shared" si="4"/>
        <v>80.666666666666657</v>
      </c>
      <c r="R80">
        <f t="shared" si="5"/>
        <v>32.266666666666666</v>
      </c>
    </row>
    <row r="81" spans="1:18" x14ac:dyDescent="0.25">
      <c r="A81" s="68">
        <v>15</v>
      </c>
      <c r="B81" s="69" t="s">
        <v>85</v>
      </c>
      <c r="C81" s="70">
        <v>35</v>
      </c>
      <c r="D81" s="70">
        <v>29</v>
      </c>
      <c r="E81" s="70">
        <v>26</v>
      </c>
      <c r="F81" s="70">
        <v>28</v>
      </c>
      <c r="G81" s="70">
        <v>33</v>
      </c>
      <c r="H81" s="70">
        <v>24</v>
      </c>
      <c r="I81" s="70">
        <v>34</v>
      </c>
      <c r="J81" s="70">
        <v>42</v>
      </c>
      <c r="K81" s="70">
        <v>37</v>
      </c>
      <c r="L81" s="70">
        <v>32</v>
      </c>
      <c r="M81" s="70">
        <v>41</v>
      </c>
      <c r="N81" s="70">
        <v>38</v>
      </c>
      <c r="O81" s="68" t="s">
        <v>272</v>
      </c>
      <c r="P81">
        <f t="shared" si="3"/>
        <v>399</v>
      </c>
      <c r="Q81">
        <f t="shared" si="4"/>
        <v>66.5</v>
      </c>
      <c r="R81">
        <f t="shared" si="5"/>
        <v>26.6</v>
      </c>
    </row>
    <row r="82" spans="1:18" x14ac:dyDescent="0.25">
      <c r="A82" s="68">
        <v>16</v>
      </c>
      <c r="B82" s="69" t="s">
        <v>86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68" t="s">
        <v>272</v>
      </c>
      <c r="P82">
        <f t="shared" si="3"/>
        <v>0</v>
      </c>
      <c r="Q82">
        <f t="shared" si="4"/>
        <v>0</v>
      </c>
      <c r="R82">
        <f t="shared" si="5"/>
        <v>0</v>
      </c>
    </row>
    <row r="83" spans="1:18" x14ac:dyDescent="0.25">
      <c r="A83" s="68">
        <v>17</v>
      </c>
      <c r="B83" s="69" t="s">
        <v>87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68" t="s">
        <v>272</v>
      </c>
      <c r="P83">
        <f t="shared" si="3"/>
        <v>0</v>
      </c>
      <c r="Q83">
        <f t="shared" si="4"/>
        <v>0</v>
      </c>
      <c r="R83">
        <f t="shared" si="5"/>
        <v>0</v>
      </c>
    </row>
    <row r="84" spans="1:18" x14ac:dyDescent="0.25">
      <c r="A84" s="68">
        <v>18</v>
      </c>
      <c r="B84" s="69" t="s">
        <v>88</v>
      </c>
      <c r="C84" s="70">
        <v>45</v>
      </c>
      <c r="D84" s="70">
        <v>46</v>
      </c>
      <c r="E84" s="70">
        <v>47</v>
      </c>
      <c r="F84" s="70">
        <v>50</v>
      </c>
      <c r="G84" s="70">
        <v>48</v>
      </c>
      <c r="H84" s="70">
        <v>46</v>
      </c>
      <c r="I84" s="70">
        <v>37</v>
      </c>
      <c r="J84" s="70">
        <v>45</v>
      </c>
      <c r="K84" s="70">
        <v>42</v>
      </c>
      <c r="L84" s="70">
        <v>33</v>
      </c>
      <c r="M84" s="70">
        <v>39</v>
      </c>
      <c r="N84" s="70">
        <v>42</v>
      </c>
      <c r="O84" s="68" t="s">
        <v>272</v>
      </c>
      <c r="P84">
        <f t="shared" si="3"/>
        <v>520</v>
      </c>
      <c r="Q84">
        <f t="shared" si="4"/>
        <v>86.666666666666671</v>
      </c>
      <c r="R84">
        <f t="shared" si="5"/>
        <v>34.666666666666671</v>
      </c>
    </row>
    <row r="85" spans="1:18" x14ac:dyDescent="0.25">
      <c r="A85" s="68">
        <v>19</v>
      </c>
      <c r="B85" s="69" t="s">
        <v>89</v>
      </c>
      <c r="C85" s="70">
        <v>16</v>
      </c>
      <c r="D85" s="70">
        <v>16</v>
      </c>
      <c r="E85" s="70">
        <v>18</v>
      </c>
      <c r="F85" s="70">
        <v>17</v>
      </c>
      <c r="G85" s="70">
        <v>19</v>
      </c>
      <c r="H85" s="70">
        <v>17</v>
      </c>
      <c r="I85" s="70">
        <v>13</v>
      </c>
      <c r="J85" s="70">
        <v>16</v>
      </c>
      <c r="K85" s="70">
        <v>13</v>
      </c>
      <c r="L85" s="70">
        <v>15</v>
      </c>
      <c r="M85" s="70">
        <v>10</v>
      </c>
      <c r="N85" s="70">
        <v>16</v>
      </c>
      <c r="O85" s="68" t="s">
        <v>272</v>
      </c>
      <c r="P85">
        <f t="shared" si="3"/>
        <v>186</v>
      </c>
      <c r="Q85">
        <f t="shared" si="4"/>
        <v>31</v>
      </c>
      <c r="R85">
        <f t="shared" si="5"/>
        <v>12.4</v>
      </c>
    </row>
    <row r="86" spans="1:18" x14ac:dyDescent="0.25">
      <c r="A86" s="68">
        <v>20</v>
      </c>
      <c r="B86" s="69" t="s">
        <v>90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68" t="s">
        <v>272</v>
      </c>
      <c r="P86">
        <f t="shared" si="3"/>
        <v>0</v>
      </c>
      <c r="Q86">
        <f t="shared" si="4"/>
        <v>0</v>
      </c>
      <c r="R86">
        <f t="shared" si="5"/>
        <v>0</v>
      </c>
    </row>
    <row r="87" spans="1:18" x14ac:dyDescent="0.25">
      <c r="A87" s="68">
        <v>21</v>
      </c>
      <c r="B87" s="69" t="s">
        <v>91</v>
      </c>
      <c r="C87" s="70">
        <v>37</v>
      </c>
      <c r="D87" s="70">
        <v>37</v>
      </c>
      <c r="E87" s="70">
        <v>38</v>
      </c>
      <c r="F87" s="70">
        <v>42</v>
      </c>
      <c r="G87" s="70">
        <v>45</v>
      </c>
      <c r="H87" s="70">
        <v>31</v>
      </c>
      <c r="I87" s="70">
        <v>21</v>
      </c>
      <c r="J87" s="70">
        <v>39</v>
      </c>
      <c r="K87" s="70">
        <v>35</v>
      </c>
      <c r="L87" s="70">
        <v>31</v>
      </c>
      <c r="M87" s="70">
        <v>24</v>
      </c>
      <c r="N87" s="70">
        <v>35</v>
      </c>
      <c r="O87" s="68" t="s">
        <v>272</v>
      </c>
      <c r="P87">
        <f t="shared" si="3"/>
        <v>415</v>
      </c>
      <c r="Q87">
        <f t="shared" si="4"/>
        <v>69.166666666666671</v>
      </c>
      <c r="R87">
        <f t="shared" si="5"/>
        <v>27.666666666666671</v>
      </c>
    </row>
    <row r="88" spans="1:18" x14ac:dyDescent="0.25">
      <c r="A88" s="68">
        <v>22</v>
      </c>
      <c r="B88" s="69" t="s">
        <v>92</v>
      </c>
      <c r="C88" s="70">
        <v>37</v>
      </c>
      <c r="D88" s="70">
        <v>42</v>
      </c>
      <c r="E88" s="70">
        <v>40</v>
      </c>
      <c r="F88" s="70">
        <v>24</v>
      </c>
      <c r="G88" s="70">
        <v>24</v>
      </c>
      <c r="H88" s="70">
        <v>27</v>
      </c>
      <c r="I88" s="70">
        <v>9</v>
      </c>
      <c r="J88" s="70"/>
      <c r="K88" s="70"/>
      <c r="L88" s="70"/>
      <c r="M88" s="70"/>
      <c r="N88" s="70"/>
      <c r="O88" s="68" t="s">
        <v>272</v>
      </c>
      <c r="P88">
        <f t="shared" si="3"/>
        <v>203</v>
      </c>
      <c r="Q88">
        <f t="shared" si="4"/>
        <v>33.833333333333329</v>
      </c>
      <c r="R88">
        <f t="shared" si="5"/>
        <v>13.533333333333331</v>
      </c>
    </row>
    <row r="89" spans="1:18" x14ac:dyDescent="0.25">
      <c r="A89" s="68">
        <v>23</v>
      </c>
      <c r="B89" s="69" t="s">
        <v>93</v>
      </c>
      <c r="C89" s="70">
        <v>19</v>
      </c>
      <c r="D89" s="70">
        <v>19</v>
      </c>
      <c r="E89" s="70">
        <v>8</v>
      </c>
      <c r="F89" s="70">
        <v>19</v>
      </c>
      <c r="G89" s="70">
        <v>10</v>
      </c>
      <c r="H89" s="70">
        <v>19</v>
      </c>
      <c r="I89" s="70"/>
      <c r="J89" s="70"/>
      <c r="K89" s="70"/>
      <c r="L89" s="70"/>
      <c r="M89" s="70"/>
      <c r="N89" s="70"/>
      <c r="O89" s="68" t="s">
        <v>272</v>
      </c>
      <c r="P89">
        <f t="shared" si="3"/>
        <v>94</v>
      </c>
      <c r="Q89">
        <f t="shared" si="4"/>
        <v>15.666666666666668</v>
      </c>
      <c r="R89">
        <f t="shared" si="5"/>
        <v>6.2666666666666675</v>
      </c>
    </row>
    <row r="90" spans="1:18" x14ac:dyDescent="0.25">
      <c r="A90" s="68">
        <v>24</v>
      </c>
      <c r="B90" s="69" t="s">
        <v>94</v>
      </c>
      <c r="C90" s="70">
        <v>41</v>
      </c>
      <c r="D90" s="70">
        <v>44</v>
      </c>
      <c r="E90" s="70">
        <v>46</v>
      </c>
      <c r="F90" s="70">
        <v>45</v>
      </c>
      <c r="G90" s="70">
        <v>43</v>
      </c>
      <c r="H90" s="70">
        <v>36</v>
      </c>
      <c r="I90" s="70">
        <v>36</v>
      </c>
      <c r="J90" s="70">
        <v>42</v>
      </c>
      <c r="K90" s="70">
        <v>41</v>
      </c>
      <c r="L90" s="70">
        <v>33</v>
      </c>
      <c r="M90" s="70">
        <v>36</v>
      </c>
      <c r="N90" s="70">
        <v>42</v>
      </c>
      <c r="O90" s="68" t="s">
        <v>272</v>
      </c>
      <c r="P90">
        <f t="shared" si="3"/>
        <v>485</v>
      </c>
      <c r="Q90">
        <f t="shared" si="4"/>
        <v>80.833333333333329</v>
      </c>
      <c r="R90">
        <f t="shared" si="5"/>
        <v>32.333333333333336</v>
      </c>
    </row>
    <row r="91" spans="1:18" x14ac:dyDescent="0.25">
      <c r="A91" s="68">
        <v>25</v>
      </c>
      <c r="B91" s="69" t="s">
        <v>95</v>
      </c>
      <c r="C91" s="70">
        <v>44</v>
      </c>
      <c r="D91" s="70">
        <v>41</v>
      </c>
      <c r="E91" s="70">
        <v>46</v>
      </c>
      <c r="F91" s="70">
        <v>43</v>
      </c>
      <c r="G91" s="70">
        <v>47</v>
      </c>
      <c r="H91" s="70">
        <v>44</v>
      </c>
      <c r="I91" s="70"/>
      <c r="J91" s="70">
        <v>45</v>
      </c>
      <c r="K91" s="70">
        <v>44</v>
      </c>
      <c r="L91" s="70">
        <v>36</v>
      </c>
      <c r="M91" s="70">
        <v>38</v>
      </c>
      <c r="N91" s="70">
        <v>44</v>
      </c>
      <c r="O91" s="68" t="s">
        <v>272</v>
      </c>
      <c r="P91">
        <f t="shared" si="3"/>
        <v>472</v>
      </c>
      <c r="Q91">
        <f t="shared" si="4"/>
        <v>78.666666666666657</v>
      </c>
      <c r="R91">
        <f t="shared" si="5"/>
        <v>31.466666666666665</v>
      </c>
    </row>
    <row r="92" spans="1:18" x14ac:dyDescent="0.25">
      <c r="A92" s="68">
        <v>26</v>
      </c>
      <c r="B92" s="69" t="s">
        <v>96</v>
      </c>
      <c r="C92" s="70">
        <v>24</v>
      </c>
      <c r="D92" s="70">
        <v>28</v>
      </c>
      <c r="E92" s="70">
        <v>34</v>
      </c>
      <c r="F92" s="70">
        <v>28</v>
      </c>
      <c r="G92" s="70">
        <v>48</v>
      </c>
      <c r="H92" s="70">
        <v>39</v>
      </c>
      <c r="I92" s="70"/>
      <c r="J92" s="70">
        <v>18</v>
      </c>
      <c r="K92" s="70">
        <v>16</v>
      </c>
      <c r="L92" s="70">
        <v>18</v>
      </c>
      <c r="M92" s="70">
        <v>20</v>
      </c>
      <c r="N92" s="70">
        <v>24</v>
      </c>
      <c r="O92" s="68" t="s">
        <v>272</v>
      </c>
      <c r="P92">
        <f t="shared" si="3"/>
        <v>297</v>
      </c>
      <c r="Q92">
        <f t="shared" si="4"/>
        <v>49.5</v>
      </c>
      <c r="R92">
        <f t="shared" si="5"/>
        <v>19.8</v>
      </c>
    </row>
    <row r="93" spans="1:18" x14ac:dyDescent="0.25">
      <c r="A93" s="68">
        <v>27</v>
      </c>
      <c r="B93" s="69" t="s">
        <v>97</v>
      </c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68" t="s">
        <v>272</v>
      </c>
      <c r="P93">
        <f t="shared" si="3"/>
        <v>0</v>
      </c>
      <c r="Q93">
        <f t="shared" si="4"/>
        <v>0</v>
      </c>
      <c r="R93">
        <f t="shared" si="5"/>
        <v>0</v>
      </c>
    </row>
    <row r="94" spans="1:18" x14ac:dyDescent="0.25">
      <c r="A94" s="68">
        <v>28</v>
      </c>
      <c r="B94" s="69" t="s">
        <v>98</v>
      </c>
      <c r="C94" s="70">
        <v>23</v>
      </c>
      <c r="D94" s="70">
        <v>30</v>
      </c>
      <c r="E94" s="70">
        <v>23</v>
      </c>
      <c r="F94" s="70">
        <v>32</v>
      </c>
      <c r="G94" s="70">
        <v>30</v>
      </c>
      <c r="H94" s="70">
        <v>28</v>
      </c>
      <c r="I94" s="70">
        <v>24</v>
      </c>
      <c r="J94" s="70">
        <v>34</v>
      </c>
      <c r="K94" s="70">
        <v>23</v>
      </c>
      <c r="L94" s="70">
        <v>32</v>
      </c>
      <c r="M94" s="70">
        <v>33</v>
      </c>
      <c r="N94" s="70">
        <v>29</v>
      </c>
      <c r="O94" s="68" t="s">
        <v>272</v>
      </c>
      <c r="P94">
        <f t="shared" si="3"/>
        <v>341</v>
      </c>
      <c r="Q94">
        <f t="shared" si="4"/>
        <v>56.833333333333336</v>
      </c>
      <c r="R94">
        <f t="shared" si="5"/>
        <v>22.733333333333334</v>
      </c>
    </row>
    <row r="95" spans="1:18" x14ac:dyDescent="0.25">
      <c r="A95" s="68">
        <v>29</v>
      </c>
      <c r="B95" s="69" t="s">
        <v>99</v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68" t="s">
        <v>272</v>
      </c>
      <c r="P95">
        <f t="shared" si="3"/>
        <v>0</v>
      </c>
      <c r="Q95">
        <f t="shared" si="4"/>
        <v>0</v>
      </c>
      <c r="R95">
        <f t="shared" si="5"/>
        <v>0</v>
      </c>
    </row>
    <row r="96" spans="1:18" x14ac:dyDescent="0.25">
      <c r="A96" s="68">
        <v>30</v>
      </c>
      <c r="B96" s="69" t="s">
        <v>100</v>
      </c>
      <c r="C96" s="70">
        <v>26</v>
      </c>
      <c r="D96" s="70">
        <v>27</v>
      </c>
      <c r="E96" s="70">
        <v>17</v>
      </c>
      <c r="F96" s="70">
        <v>31</v>
      </c>
      <c r="G96" s="70">
        <v>35</v>
      </c>
      <c r="H96" s="70">
        <v>25</v>
      </c>
      <c r="I96" s="70">
        <v>25</v>
      </c>
      <c r="J96" s="70">
        <v>23</v>
      </c>
      <c r="K96" s="70">
        <v>29</v>
      </c>
      <c r="L96" s="70">
        <v>22</v>
      </c>
      <c r="M96" s="70">
        <v>25</v>
      </c>
      <c r="N96" s="70">
        <v>38</v>
      </c>
      <c r="O96" s="68" t="s">
        <v>272</v>
      </c>
      <c r="P96">
        <f t="shared" si="3"/>
        <v>323</v>
      </c>
      <c r="Q96">
        <f t="shared" si="4"/>
        <v>53.833333333333336</v>
      </c>
      <c r="R96">
        <f t="shared" si="5"/>
        <v>21.533333333333335</v>
      </c>
    </row>
    <row r="97" spans="1:18" x14ac:dyDescent="0.25">
      <c r="A97" s="68">
        <v>31</v>
      </c>
      <c r="B97" s="69" t="s">
        <v>101</v>
      </c>
      <c r="C97" s="70">
        <v>12</v>
      </c>
      <c r="D97" s="70">
        <v>19</v>
      </c>
      <c r="E97" s="70">
        <v>15</v>
      </c>
      <c r="F97" s="70">
        <v>25</v>
      </c>
      <c r="G97" s="70">
        <v>14</v>
      </c>
      <c r="H97" s="70">
        <v>17</v>
      </c>
      <c r="I97" s="70">
        <v>18</v>
      </c>
      <c r="J97" s="70">
        <v>21</v>
      </c>
      <c r="K97" s="70">
        <v>17</v>
      </c>
      <c r="L97" s="70">
        <v>24</v>
      </c>
      <c r="M97" s="70">
        <v>14</v>
      </c>
      <c r="N97" s="70">
        <v>25</v>
      </c>
      <c r="O97" s="68" t="s">
        <v>272</v>
      </c>
      <c r="P97">
        <f t="shared" si="3"/>
        <v>221</v>
      </c>
      <c r="Q97">
        <f t="shared" si="4"/>
        <v>36.833333333333336</v>
      </c>
      <c r="R97">
        <f t="shared" si="5"/>
        <v>14.733333333333334</v>
      </c>
    </row>
    <row r="98" spans="1:18" x14ac:dyDescent="0.25">
      <c r="A98" s="68">
        <v>1</v>
      </c>
      <c r="B98" s="69" t="s">
        <v>102</v>
      </c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68" t="s">
        <v>273</v>
      </c>
      <c r="P98">
        <f t="shared" si="3"/>
        <v>0</v>
      </c>
      <c r="Q98">
        <f t="shared" si="4"/>
        <v>0</v>
      </c>
      <c r="R98">
        <f t="shared" si="5"/>
        <v>0</v>
      </c>
    </row>
    <row r="99" spans="1:18" x14ac:dyDescent="0.25">
      <c r="A99" s="68">
        <v>2</v>
      </c>
      <c r="B99" s="69" t="s">
        <v>103</v>
      </c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68" t="s">
        <v>273</v>
      </c>
      <c r="P99">
        <f t="shared" si="3"/>
        <v>0</v>
      </c>
      <c r="Q99">
        <f t="shared" si="4"/>
        <v>0</v>
      </c>
      <c r="R99">
        <f t="shared" si="5"/>
        <v>0</v>
      </c>
    </row>
    <row r="100" spans="1:18" x14ac:dyDescent="0.25">
      <c r="A100" s="68">
        <v>3</v>
      </c>
      <c r="B100" s="69" t="s">
        <v>104</v>
      </c>
      <c r="C100" s="70"/>
      <c r="D100" s="70"/>
      <c r="E100" s="70"/>
      <c r="F100" s="70"/>
      <c r="G100" s="70"/>
      <c r="H100" s="70"/>
      <c r="I100" s="70"/>
      <c r="J100" s="70">
        <v>19</v>
      </c>
      <c r="K100" s="70"/>
      <c r="L100" s="70"/>
      <c r="M100" s="70">
        <v>24</v>
      </c>
      <c r="N100" s="70">
        <v>36</v>
      </c>
      <c r="O100" s="68" t="s">
        <v>273</v>
      </c>
      <c r="P100">
        <f t="shared" si="3"/>
        <v>79</v>
      </c>
      <c r="Q100">
        <f t="shared" si="4"/>
        <v>13.166666666666666</v>
      </c>
      <c r="R100">
        <f t="shared" si="5"/>
        <v>5.2666666666666666</v>
      </c>
    </row>
    <row r="101" spans="1:18" x14ac:dyDescent="0.25">
      <c r="A101" s="68">
        <v>4</v>
      </c>
      <c r="B101" s="69" t="s">
        <v>105</v>
      </c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68" t="s">
        <v>273</v>
      </c>
      <c r="P101">
        <f t="shared" si="3"/>
        <v>0</v>
      </c>
      <c r="Q101">
        <f t="shared" si="4"/>
        <v>0</v>
      </c>
      <c r="R101">
        <f t="shared" si="5"/>
        <v>0</v>
      </c>
    </row>
    <row r="102" spans="1:18" x14ac:dyDescent="0.25">
      <c r="A102" s="68">
        <v>5</v>
      </c>
      <c r="B102" s="69" t="s">
        <v>106</v>
      </c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68" t="s">
        <v>273</v>
      </c>
      <c r="P102">
        <f t="shared" si="3"/>
        <v>0</v>
      </c>
      <c r="Q102">
        <f t="shared" si="4"/>
        <v>0</v>
      </c>
      <c r="R102">
        <f t="shared" si="5"/>
        <v>0</v>
      </c>
    </row>
    <row r="103" spans="1:18" x14ac:dyDescent="0.25">
      <c r="A103" s="68">
        <v>6</v>
      </c>
      <c r="B103" s="69" t="s">
        <v>107</v>
      </c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68" t="s">
        <v>273</v>
      </c>
      <c r="P103">
        <f t="shared" si="3"/>
        <v>0</v>
      </c>
      <c r="Q103">
        <f t="shared" si="4"/>
        <v>0</v>
      </c>
      <c r="R103">
        <f t="shared" si="5"/>
        <v>0</v>
      </c>
    </row>
    <row r="104" spans="1:18" x14ac:dyDescent="0.25">
      <c r="A104" s="68">
        <v>7</v>
      </c>
      <c r="B104" s="69" t="s">
        <v>108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68" t="s">
        <v>273</v>
      </c>
      <c r="P104">
        <f t="shared" si="3"/>
        <v>0</v>
      </c>
      <c r="Q104">
        <f t="shared" si="4"/>
        <v>0</v>
      </c>
      <c r="R104">
        <f t="shared" si="5"/>
        <v>0</v>
      </c>
    </row>
    <row r="105" spans="1:18" x14ac:dyDescent="0.25">
      <c r="A105" s="68">
        <v>8</v>
      </c>
      <c r="B105" s="69" t="s">
        <v>109</v>
      </c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68" t="s">
        <v>273</v>
      </c>
      <c r="P105">
        <f t="shared" si="3"/>
        <v>0</v>
      </c>
      <c r="Q105">
        <f t="shared" si="4"/>
        <v>0</v>
      </c>
      <c r="R105">
        <f t="shared" si="5"/>
        <v>0</v>
      </c>
    </row>
    <row r="106" spans="1:18" x14ac:dyDescent="0.25">
      <c r="A106" s="68">
        <v>9</v>
      </c>
      <c r="B106" s="69" t="s">
        <v>110</v>
      </c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68" t="s">
        <v>273</v>
      </c>
      <c r="P106">
        <f t="shared" si="3"/>
        <v>0</v>
      </c>
      <c r="Q106">
        <f t="shared" si="4"/>
        <v>0</v>
      </c>
      <c r="R106">
        <f t="shared" si="5"/>
        <v>0</v>
      </c>
    </row>
    <row r="107" spans="1:18" x14ac:dyDescent="0.25">
      <c r="A107" s="68">
        <v>10</v>
      </c>
      <c r="B107" s="69" t="s">
        <v>111</v>
      </c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68" t="s">
        <v>273</v>
      </c>
      <c r="P107">
        <f t="shared" si="3"/>
        <v>0</v>
      </c>
      <c r="Q107">
        <f t="shared" si="4"/>
        <v>0</v>
      </c>
      <c r="R107">
        <f t="shared" si="5"/>
        <v>0</v>
      </c>
    </row>
    <row r="108" spans="1:18" x14ac:dyDescent="0.25">
      <c r="A108" s="68">
        <v>11</v>
      </c>
      <c r="B108" s="69" t="s">
        <v>112</v>
      </c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68" t="s">
        <v>273</v>
      </c>
      <c r="P108">
        <f t="shared" si="3"/>
        <v>0</v>
      </c>
      <c r="Q108">
        <f t="shared" si="4"/>
        <v>0</v>
      </c>
      <c r="R108">
        <f t="shared" si="5"/>
        <v>0</v>
      </c>
    </row>
    <row r="109" spans="1:18" x14ac:dyDescent="0.25">
      <c r="A109" s="68">
        <v>12</v>
      </c>
      <c r="B109" s="69" t="s">
        <v>113</v>
      </c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68" t="s">
        <v>273</v>
      </c>
      <c r="P109">
        <f t="shared" si="3"/>
        <v>0</v>
      </c>
      <c r="Q109">
        <f t="shared" si="4"/>
        <v>0</v>
      </c>
      <c r="R109">
        <f t="shared" si="5"/>
        <v>0</v>
      </c>
    </row>
    <row r="110" spans="1:18" x14ac:dyDescent="0.25">
      <c r="A110" s="68">
        <v>13</v>
      </c>
      <c r="B110" s="69" t="s">
        <v>114</v>
      </c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68" t="s">
        <v>273</v>
      </c>
      <c r="P110">
        <f t="shared" si="3"/>
        <v>0</v>
      </c>
      <c r="Q110">
        <f t="shared" si="4"/>
        <v>0</v>
      </c>
      <c r="R110">
        <f t="shared" si="5"/>
        <v>0</v>
      </c>
    </row>
    <row r="111" spans="1:18" x14ac:dyDescent="0.25">
      <c r="A111" s="68">
        <v>14</v>
      </c>
      <c r="B111" s="69" t="s">
        <v>115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68" t="s">
        <v>273</v>
      </c>
      <c r="P111">
        <f t="shared" si="3"/>
        <v>0</v>
      </c>
      <c r="Q111">
        <f t="shared" si="4"/>
        <v>0</v>
      </c>
      <c r="R111">
        <f t="shared" si="5"/>
        <v>0</v>
      </c>
    </row>
    <row r="112" spans="1:18" x14ac:dyDescent="0.25">
      <c r="A112" s="68">
        <v>15</v>
      </c>
      <c r="B112" s="69" t="s">
        <v>116</v>
      </c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68" t="s">
        <v>273</v>
      </c>
      <c r="P112">
        <f t="shared" si="3"/>
        <v>0</v>
      </c>
      <c r="Q112">
        <f t="shared" si="4"/>
        <v>0</v>
      </c>
      <c r="R112">
        <f t="shared" si="5"/>
        <v>0</v>
      </c>
    </row>
    <row r="113" spans="1:18" x14ac:dyDescent="0.25">
      <c r="A113" s="68">
        <v>16</v>
      </c>
      <c r="B113" s="69" t="s">
        <v>117</v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68" t="s">
        <v>273</v>
      </c>
      <c r="P113">
        <f t="shared" si="3"/>
        <v>0</v>
      </c>
      <c r="Q113">
        <f t="shared" si="4"/>
        <v>0</v>
      </c>
      <c r="R113">
        <f t="shared" si="5"/>
        <v>0</v>
      </c>
    </row>
    <row r="114" spans="1:18" x14ac:dyDescent="0.25">
      <c r="A114" s="68">
        <v>17</v>
      </c>
      <c r="B114" s="69" t="s">
        <v>118</v>
      </c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68" t="s">
        <v>273</v>
      </c>
      <c r="P114">
        <f t="shared" si="3"/>
        <v>0</v>
      </c>
      <c r="Q114">
        <f t="shared" si="4"/>
        <v>0</v>
      </c>
      <c r="R114">
        <f t="shared" si="5"/>
        <v>0</v>
      </c>
    </row>
    <row r="115" spans="1:18" x14ac:dyDescent="0.25">
      <c r="A115" s="68">
        <v>18</v>
      </c>
      <c r="B115" s="69" t="s">
        <v>119</v>
      </c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68" t="s">
        <v>273</v>
      </c>
      <c r="P115">
        <f t="shared" si="3"/>
        <v>0</v>
      </c>
      <c r="Q115">
        <f t="shared" si="4"/>
        <v>0</v>
      </c>
      <c r="R115">
        <f t="shared" si="5"/>
        <v>0</v>
      </c>
    </row>
    <row r="116" spans="1:18" x14ac:dyDescent="0.25">
      <c r="A116" s="68">
        <v>19</v>
      </c>
      <c r="B116" s="69" t="s">
        <v>120</v>
      </c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68" t="s">
        <v>273</v>
      </c>
      <c r="P116">
        <f t="shared" si="3"/>
        <v>0</v>
      </c>
      <c r="Q116">
        <f t="shared" si="4"/>
        <v>0</v>
      </c>
      <c r="R116">
        <f t="shared" si="5"/>
        <v>0</v>
      </c>
    </row>
    <row r="117" spans="1:18" x14ac:dyDescent="0.25">
      <c r="A117" s="68">
        <v>20</v>
      </c>
      <c r="B117" s="69" t="s">
        <v>121</v>
      </c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68" t="s">
        <v>273</v>
      </c>
      <c r="P117">
        <f t="shared" si="3"/>
        <v>0</v>
      </c>
      <c r="Q117">
        <f t="shared" si="4"/>
        <v>0</v>
      </c>
      <c r="R117">
        <f t="shared" si="5"/>
        <v>0</v>
      </c>
    </row>
    <row r="118" spans="1:18" x14ac:dyDescent="0.25">
      <c r="A118" s="68">
        <v>21</v>
      </c>
      <c r="B118" s="69" t="s">
        <v>122</v>
      </c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68" t="s">
        <v>273</v>
      </c>
      <c r="P118">
        <f t="shared" si="3"/>
        <v>0</v>
      </c>
      <c r="Q118">
        <f t="shared" si="4"/>
        <v>0</v>
      </c>
      <c r="R118">
        <f t="shared" si="5"/>
        <v>0</v>
      </c>
    </row>
    <row r="119" spans="1:18" x14ac:dyDescent="0.25">
      <c r="A119" s="68">
        <v>22</v>
      </c>
      <c r="B119" s="69" t="s">
        <v>123</v>
      </c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68" t="s">
        <v>273</v>
      </c>
      <c r="P119">
        <f t="shared" si="3"/>
        <v>0</v>
      </c>
      <c r="Q119">
        <f t="shared" si="4"/>
        <v>0</v>
      </c>
      <c r="R119">
        <f t="shared" si="5"/>
        <v>0</v>
      </c>
    </row>
    <row r="120" spans="1:18" x14ac:dyDescent="0.25">
      <c r="A120" s="68">
        <v>23</v>
      </c>
      <c r="B120" s="69" t="s">
        <v>124</v>
      </c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68" t="s">
        <v>273</v>
      </c>
      <c r="P120">
        <f t="shared" si="3"/>
        <v>0</v>
      </c>
      <c r="Q120">
        <f t="shared" si="4"/>
        <v>0</v>
      </c>
      <c r="R120">
        <f t="shared" si="5"/>
        <v>0</v>
      </c>
    </row>
    <row r="121" spans="1:18" x14ac:dyDescent="0.25">
      <c r="A121" s="68">
        <v>24</v>
      </c>
      <c r="B121" s="69" t="s">
        <v>125</v>
      </c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68" t="s">
        <v>273</v>
      </c>
      <c r="P121">
        <f t="shared" si="3"/>
        <v>0</v>
      </c>
      <c r="Q121">
        <f t="shared" si="4"/>
        <v>0</v>
      </c>
      <c r="R121">
        <f t="shared" si="5"/>
        <v>0</v>
      </c>
    </row>
    <row r="122" spans="1:18" x14ac:dyDescent="0.25">
      <c r="A122" s="68">
        <v>25</v>
      </c>
      <c r="B122" s="69" t="s">
        <v>126</v>
      </c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68" t="s">
        <v>273</v>
      </c>
      <c r="P122">
        <f t="shared" si="3"/>
        <v>0</v>
      </c>
      <c r="Q122">
        <f t="shared" si="4"/>
        <v>0</v>
      </c>
      <c r="R122">
        <f t="shared" si="5"/>
        <v>0</v>
      </c>
    </row>
    <row r="123" spans="1:18" x14ac:dyDescent="0.25">
      <c r="A123" s="68">
        <v>26</v>
      </c>
      <c r="B123" s="69" t="s">
        <v>127</v>
      </c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68" t="s">
        <v>273</v>
      </c>
      <c r="P123">
        <f t="shared" si="3"/>
        <v>0</v>
      </c>
      <c r="Q123">
        <f t="shared" si="4"/>
        <v>0</v>
      </c>
      <c r="R123">
        <f t="shared" si="5"/>
        <v>0</v>
      </c>
    </row>
    <row r="124" spans="1:18" x14ac:dyDescent="0.25">
      <c r="A124" s="68">
        <v>27</v>
      </c>
      <c r="B124" s="69" t="s">
        <v>128</v>
      </c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68" t="s">
        <v>273</v>
      </c>
      <c r="P124">
        <f t="shared" si="3"/>
        <v>0</v>
      </c>
      <c r="Q124">
        <f t="shared" si="4"/>
        <v>0</v>
      </c>
      <c r="R124">
        <f t="shared" si="5"/>
        <v>0</v>
      </c>
    </row>
    <row r="125" spans="1:18" x14ac:dyDescent="0.25">
      <c r="A125" s="68">
        <v>28</v>
      </c>
      <c r="B125" s="69" t="s">
        <v>129</v>
      </c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68" t="s">
        <v>273</v>
      </c>
      <c r="P125">
        <f t="shared" si="3"/>
        <v>0</v>
      </c>
      <c r="Q125">
        <f t="shared" si="4"/>
        <v>0</v>
      </c>
      <c r="R125">
        <f t="shared" si="5"/>
        <v>0</v>
      </c>
    </row>
    <row r="126" spans="1:18" x14ac:dyDescent="0.25">
      <c r="A126" s="68">
        <v>29</v>
      </c>
      <c r="B126" s="69" t="s">
        <v>130</v>
      </c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68" t="s">
        <v>273</v>
      </c>
      <c r="P126">
        <f t="shared" si="3"/>
        <v>0</v>
      </c>
      <c r="Q126">
        <f t="shared" si="4"/>
        <v>0</v>
      </c>
      <c r="R126">
        <f t="shared" si="5"/>
        <v>0</v>
      </c>
    </row>
    <row r="127" spans="1:18" x14ac:dyDescent="0.25">
      <c r="A127" s="68">
        <v>30</v>
      </c>
      <c r="B127" s="69" t="s">
        <v>131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68" t="s">
        <v>273</v>
      </c>
      <c r="P127">
        <f t="shared" si="3"/>
        <v>0</v>
      </c>
      <c r="Q127">
        <f t="shared" si="4"/>
        <v>0</v>
      </c>
      <c r="R127">
        <f t="shared" si="5"/>
        <v>0</v>
      </c>
    </row>
    <row r="128" spans="1:18" x14ac:dyDescent="0.25">
      <c r="A128" s="68">
        <v>31</v>
      </c>
      <c r="B128" s="69" t="s">
        <v>132</v>
      </c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68" t="s">
        <v>273</v>
      </c>
      <c r="P128">
        <f t="shared" si="3"/>
        <v>0</v>
      </c>
      <c r="Q128">
        <f t="shared" si="4"/>
        <v>0</v>
      </c>
      <c r="R128">
        <f t="shared" si="5"/>
        <v>0</v>
      </c>
    </row>
    <row r="129" spans="1:18" x14ac:dyDescent="0.25">
      <c r="A129" s="68">
        <v>32</v>
      </c>
      <c r="B129" s="69" t="s">
        <v>133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68" t="s">
        <v>273</v>
      </c>
      <c r="P129">
        <f t="shared" si="3"/>
        <v>0</v>
      </c>
      <c r="Q129">
        <f t="shared" si="4"/>
        <v>0</v>
      </c>
      <c r="R129">
        <f t="shared" si="5"/>
        <v>0</v>
      </c>
    </row>
    <row r="130" spans="1:18" x14ac:dyDescent="0.25">
      <c r="A130" s="68">
        <v>33</v>
      </c>
      <c r="B130" s="69" t="s">
        <v>134</v>
      </c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68" t="s">
        <v>273</v>
      </c>
      <c r="P130">
        <f t="shared" si="3"/>
        <v>0</v>
      </c>
      <c r="Q130">
        <f t="shared" si="4"/>
        <v>0</v>
      </c>
      <c r="R130">
        <f t="shared" si="5"/>
        <v>0</v>
      </c>
    </row>
    <row r="131" spans="1:18" x14ac:dyDescent="0.25">
      <c r="A131" s="68">
        <v>34</v>
      </c>
      <c r="B131" s="69" t="s">
        <v>135</v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68" t="s">
        <v>273</v>
      </c>
      <c r="P131">
        <f t="shared" ref="P131:P194" si="6">SUM(C131:N131)</f>
        <v>0</v>
      </c>
      <c r="Q131">
        <f t="shared" ref="Q131:Q194" si="7">(P131/600)*100</f>
        <v>0</v>
      </c>
      <c r="R131">
        <f t="shared" ref="R131:R194" si="8">Q131*0.4</f>
        <v>0</v>
      </c>
    </row>
    <row r="132" spans="1:18" x14ac:dyDescent="0.25">
      <c r="A132" s="68">
        <v>35</v>
      </c>
      <c r="B132" s="69" t="s">
        <v>136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68" t="s">
        <v>273</v>
      </c>
      <c r="P132">
        <f t="shared" si="6"/>
        <v>0</v>
      </c>
      <c r="Q132">
        <f t="shared" si="7"/>
        <v>0</v>
      </c>
      <c r="R132">
        <f t="shared" si="8"/>
        <v>0</v>
      </c>
    </row>
    <row r="133" spans="1:18" x14ac:dyDescent="0.25">
      <c r="A133" s="68">
        <v>1</v>
      </c>
      <c r="B133" s="69" t="s">
        <v>137</v>
      </c>
      <c r="C133" s="70">
        <v>33</v>
      </c>
      <c r="D133" s="70">
        <v>36</v>
      </c>
      <c r="E133" s="70">
        <v>20</v>
      </c>
      <c r="F133" s="70">
        <v>28</v>
      </c>
      <c r="G133" s="70">
        <v>27</v>
      </c>
      <c r="H133" s="70">
        <v>23</v>
      </c>
      <c r="I133" s="70">
        <v>22</v>
      </c>
      <c r="J133" s="70">
        <v>37</v>
      </c>
      <c r="K133" s="70">
        <v>29</v>
      </c>
      <c r="L133" s="70">
        <v>48</v>
      </c>
      <c r="M133" s="70">
        <v>32</v>
      </c>
      <c r="N133" s="70">
        <v>40</v>
      </c>
      <c r="O133" s="68" t="s">
        <v>274</v>
      </c>
      <c r="P133">
        <f t="shared" si="6"/>
        <v>375</v>
      </c>
      <c r="Q133">
        <f t="shared" si="7"/>
        <v>62.5</v>
      </c>
      <c r="R133">
        <f t="shared" si="8"/>
        <v>25</v>
      </c>
    </row>
    <row r="134" spans="1:18" x14ac:dyDescent="0.25">
      <c r="A134" s="68">
        <v>2</v>
      </c>
      <c r="B134" s="69" t="s">
        <v>138</v>
      </c>
      <c r="C134" s="70">
        <v>23</v>
      </c>
      <c r="D134" s="70">
        <v>42</v>
      </c>
      <c r="E134" s="70">
        <v>16</v>
      </c>
      <c r="F134" s="70">
        <v>34</v>
      </c>
      <c r="G134" s="70">
        <v>33</v>
      </c>
      <c r="H134" s="70">
        <v>29</v>
      </c>
      <c r="I134" s="70">
        <v>23</v>
      </c>
      <c r="J134" s="70">
        <v>34</v>
      </c>
      <c r="K134" s="70">
        <v>27</v>
      </c>
      <c r="L134" s="70">
        <v>24</v>
      </c>
      <c r="M134" s="70">
        <v>21</v>
      </c>
      <c r="N134" s="70">
        <v>35</v>
      </c>
      <c r="O134" s="68" t="s">
        <v>274</v>
      </c>
      <c r="P134">
        <f t="shared" si="6"/>
        <v>341</v>
      </c>
      <c r="Q134">
        <f t="shared" si="7"/>
        <v>56.833333333333336</v>
      </c>
      <c r="R134">
        <f t="shared" si="8"/>
        <v>22.733333333333334</v>
      </c>
    </row>
    <row r="135" spans="1:18" x14ac:dyDescent="0.25">
      <c r="A135" s="68">
        <v>3</v>
      </c>
      <c r="B135" s="69" t="s">
        <v>139</v>
      </c>
      <c r="C135" s="70">
        <v>21</v>
      </c>
      <c r="D135" s="70">
        <v>19</v>
      </c>
      <c r="E135" s="70">
        <v>15</v>
      </c>
      <c r="F135" s="70">
        <v>16</v>
      </c>
      <c r="G135" s="70">
        <v>24</v>
      </c>
      <c r="H135" s="70">
        <v>20</v>
      </c>
      <c r="I135" s="70">
        <v>17</v>
      </c>
      <c r="J135" s="70">
        <v>14</v>
      </c>
      <c r="K135" s="70">
        <v>16</v>
      </c>
      <c r="L135" s="70">
        <v>22</v>
      </c>
      <c r="M135" s="70">
        <v>18</v>
      </c>
      <c r="N135" s="70">
        <v>29</v>
      </c>
      <c r="O135" s="68" t="s">
        <v>274</v>
      </c>
      <c r="P135">
        <f t="shared" si="6"/>
        <v>231</v>
      </c>
      <c r="Q135">
        <f t="shared" si="7"/>
        <v>38.5</v>
      </c>
      <c r="R135">
        <f t="shared" si="8"/>
        <v>15.4</v>
      </c>
    </row>
    <row r="136" spans="1:18" x14ac:dyDescent="0.25">
      <c r="A136" s="68">
        <v>4</v>
      </c>
      <c r="B136" s="69" t="s">
        <v>140</v>
      </c>
      <c r="C136" s="70">
        <v>12</v>
      </c>
      <c r="D136" s="70">
        <v>19</v>
      </c>
      <c r="E136" s="70">
        <v>10</v>
      </c>
      <c r="F136" s="70">
        <v>21</v>
      </c>
      <c r="G136" s="70">
        <v>13</v>
      </c>
      <c r="H136" s="70">
        <v>21</v>
      </c>
      <c r="I136" s="70">
        <v>20</v>
      </c>
      <c r="J136" s="70">
        <v>15</v>
      </c>
      <c r="K136" s="70">
        <v>21</v>
      </c>
      <c r="L136" s="70">
        <v>19</v>
      </c>
      <c r="M136" s="70">
        <v>28</v>
      </c>
      <c r="N136" s="70">
        <v>31</v>
      </c>
      <c r="O136" s="68" t="s">
        <v>274</v>
      </c>
      <c r="P136">
        <f t="shared" si="6"/>
        <v>230</v>
      </c>
      <c r="Q136">
        <f t="shared" si="7"/>
        <v>38.333333333333336</v>
      </c>
      <c r="R136">
        <f t="shared" si="8"/>
        <v>15.333333333333336</v>
      </c>
    </row>
    <row r="137" spans="1:18" x14ac:dyDescent="0.25">
      <c r="A137" s="68">
        <v>5</v>
      </c>
      <c r="B137" s="69" t="s">
        <v>141</v>
      </c>
      <c r="C137" s="70">
        <v>22</v>
      </c>
      <c r="D137" s="70">
        <v>35</v>
      </c>
      <c r="E137" s="70">
        <v>14</v>
      </c>
      <c r="F137" s="70">
        <v>22</v>
      </c>
      <c r="G137" s="70">
        <v>13</v>
      </c>
      <c r="H137" s="70">
        <v>20</v>
      </c>
      <c r="I137" s="70">
        <v>18</v>
      </c>
      <c r="J137" s="70">
        <v>18</v>
      </c>
      <c r="K137" s="70">
        <v>23</v>
      </c>
      <c r="L137" s="70">
        <v>48</v>
      </c>
      <c r="M137" s="70">
        <v>24</v>
      </c>
      <c r="N137" s="70">
        <v>27</v>
      </c>
      <c r="O137" s="68" t="s">
        <v>274</v>
      </c>
      <c r="P137">
        <f t="shared" si="6"/>
        <v>284</v>
      </c>
      <c r="Q137">
        <f t="shared" si="7"/>
        <v>47.333333333333336</v>
      </c>
      <c r="R137">
        <f t="shared" si="8"/>
        <v>18.933333333333334</v>
      </c>
    </row>
    <row r="138" spans="1:18" x14ac:dyDescent="0.25">
      <c r="A138" s="68">
        <v>6</v>
      </c>
      <c r="B138" s="69" t="s">
        <v>142</v>
      </c>
      <c r="C138" s="70">
        <v>44</v>
      </c>
      <c r="D138" s="70">
        <v>45</v>
      </c>
      <c r="E138" s="70">
        <v>45</v>
      </c>
      <c r="F138" s="70">
        <v>42</v>
      </c>
      <c r="G138" s="70">
        <v>42</v>
      </c>
      <c r="H138" s="70">
        <v>45</v>
      </c>
      <c r="I138" s="70">
        <v>43</v>
      </c>
      <c r="J138" s="70">
        <v>43</v>
      </c>
      <c r="K138" s="70">
        <v>41</v>
      </c>
      <c r="L138" s="70">
        <v>29</v>
      </c>
      <c r="M138" s="70">
        <v>41</v>
      </c>
      <c r="N138" s="70">
        <v>45</v>
      </c>
      <c r="O138" s="68" t="s">
        <v>274</v>
      </c>
      <c r="P138">
        <f t="shared" si="6"/>
        <v>505</v>
      </c>
      <c r="Q138">
        <f t="shared" si="7"/>
        <v>84.166666666666671</v>
      </c>
      <c r="R138">
        <f t="shared" si="8"/>
        <v>33.666666666666671</v>
      </c>
    </row>
    <row r="139" spans="1:18" x14ac:dyDescent="0.25">
      <c r="A139" s="68">
        <v>7</v>
      </c>
      <c r="B139" s="69" t="s">
        <v>143</v>
      </c>
      <c r="C139" s="70">
        <v>20</v>
      </c>
      <c r="D139" s="70">
        <v>27</v>
      </c>
      <c r="E139" s="70">
        <v>24</v>
      </c>
      <c r="F139" s="70">
        <v>22</v>
      </c>
      <c r="G139" s="70">
        <v>23</v>
      </c>
      <c r="H139" s="70">
        <v>18</v>
      </c>
      <c r="I139" s="70">
        <v>21</v>
      </c>
      <c r="J139" s="70">
        <v>26</v>
      </c>
      <c r="K139" s="70">
        <v>18</v>
      </c>
      <c r="L139" s="70">
        <v>22</v>
      </c>
      <c r="M139" s="70">
        <v>27</v>
      </c>
      <c r="N139" s="70">
        <v>26</v>
      </c>
      <c r="O139" s="68" t="s">
        <v>274</v>
      </c>
      <c r="P139">
        <f t="shared" si="6"/>
        <v>274</v>
      </c>
      <c r="Q139">
        <f t="shared" si="7"/>
        <v>45.666666666666664</v>
      </c>
      <c r="R139">
        <f t="shared" si="8"/>
        <v>18.266666666666666</v>
      </c>
    </row>
    <row r="140" spans="1:18" x14ac:dyDescent="0.25">
      <c r="A140" s="68">
        <v>8</v>
      </c>
      <c r="B140" s="69" t="s">
        <v>144</v>
      </c>
      <c r="C140" s="70">
        <v>31</v>
      </c>
      <c r="D140" s="70">
        <v>37</v>
      </c>
      <c r="E140" s="70">
        <v>20</v>
      </c>
      <c r="F140" s="70">
        <v>25</v>
      </c>
      <c r="G140" s="70">
        <v>27</v>
      </c>
      <c r="H140" s="70">
        <v>16</v>
      </c>
      <c r="I140" s="70">
        <v>18</v>
      </c>
      <c r="J140" s="70">
        <v>27</v>
      </c>
      <c r="K140" s="70">
        <v>22</v>
      </c>
      <c r="L140" s="70">
        <v>20</v>
      </c>
      <c r="M140" s="70">
        <v>21</v>
      </c>
      <c r="N140" s="70">
        <v>34</v>
      </c>
      <c r="O140" s="68" t="s">
        <v>274</v>
      </c>
      <c r="P140">
        <f t="shared" si="6"/>
        <v>298</v>
      </c>
      <c r="Q140">
        <f t="shared" si="7"/>
        <v>49.666666666666664</v>
      </c>
      <c r="R140">
        <f t="shared" si="8"/>
        <v>19.866666666666667</v>
      </c>
    </row>
    <row r="141" spans="1:18" x14ac:dyDescent="0.25">
      <c r="A141" s="68">
        <v>9</v>
      </c>
      <c r="B141" s="69" t="s">
        <v>145</v>
      </c>
      <c r="C141" s="70">
        <v>22</v>
      </c>
      <c r="D141" s="70">
        <v>14</v>
      </c>
      <c r="E141" s="70">
        <v>17</v>
      </c>
      <c r="F141" s="70">
        <v>13</v>
      </c>
      <c r="G141" s="70">
        <v>15</v>
      </c>
      <c r="H141" s="70">
        <v>12</v>
      </c>
      <c r="I141" s="70">
        <v>16</v>
      </c>
      <c r="J141" s="70">
        <v>22</v>
      </c>
      <c r="K141" s="70">
        <v>22</v>
      </c>
      <c r="L141" s="70">
        <v>24</v>
      </c>
      <c r="M141" s="70">
        <v>20</v>
      </c>
      <c r="N141" s="70">
        <v>25</v>
      </c>
      <c r="O141" s="68" t="s">
        <v>274</v>
      </c>
      <c r="P141">
        <f t="shared" si="6"/>
        <v>222</v>
      </c>
      <c r="Q141">
        <f t="shared" si="7"/>
        <v>37</v>
      </c>
      <c r="R141">
        <f t="shared" si="8"/>
        <v>14.8</v>
      </c>
    </row>
    <row r="142" spans="1:18" x14ac:dyDescent="0.25">
      <c r="A142" s="68">
        <v>10</v>
      </c>
      <c r="B142" s="69" t="s">
        <v>146</v>
      </c>
      <c r="C142" s="70">
        <v>35</v>
      </c>
      <c r="D142" s="70">
        <v>40</v>
      </c>
      <c r="E142" s="70">
        <v>36</v>
      </c>
      <c r="F142" s="70">
        <v>34</v>
      </c>
      <c r="G142" s="70">
        <v>32</v>
      </c>
      <c r="H142" s="70">
        <v>23</v>
      </c>
      <c r="I142" s="70">
        <v>36</v>
      </c>
      <c r="J142" s="70">
        <v>33</v>
      </c>
      <c r="K142" s="70">
        <v>31</v>
      </c>
      <c r="L142" s="70">
        <v>37</v>
      </c>
      <c r="M142" s="70">
        <v>31</v>
      </c>
      <c r="N142" s="70">
        <v>42</v>
      </c>
      <c r="O142" s="68" t="s">
        <v>274</v>
      </c>
      <c r="P142">
        <f t="shared" si="6"/>
        <v>410</v>
      </c>
      <c r="Q142">
        <f t="shared" si="7"/>
        <v>68.333333333333329</v>
      </c>
      <c r="R142">
        <f t="shared" si="8"/>
        <v>27.333333333333332</v>
      </c>
    </row>
    <row r="143" spans="1:18" x14ac:dyDescent="0.25">
      <c r="A143" s="68">
        <v>11</v>
      </c>
      <c r="B143" s="69" t="s">
        <v>147</v>
      </c>
      <c r="C143" s="70"/>
      <c r="D143" s="70"/>
      <c r="E143" s="70"/>
      <c r="F143" s="70"/>
      <c r="G143" s="70"/>
      <c r="H143" s="70"/>
      <c r="I143" s="70">
        <v>41</v>
      </c>
      <c r="J143" s="70">
        <v>42</v>
      </c>
      <c r="K143" s="70">
        <v>45</v>
      </c>
      <c r="L143" s="70">
        <v>35</v>
      </c>
      <c r="M143" s="70">
        <v>39</v>
      </c>
      <c r="N143" s="70">
        <v>47</v>
      </c>
      <c r="O143" s="68" t="s">
        <v>274</v>
      </c>
      <c r="P143">
        <f t="shared" si="6"/>
        <v>249</v>
      </c>
      <c r="Q143">
        <f t="shared" si="7"/>
        <v>41.5</v>
      </c>
      <c r="R143">
        <f t="shared" si="8"/>
        <v>16.600000000000001</v>
      </c>
    </row>
    <row r="144" spans="1:18" x14ac:dyDescent="0.25">
      <c r="A144" s="68">
        <v>12</v>
      </c>
      <c r="B144" s="69" t="s">
        <v>148</v>
      </c>
      <c r="C144" s="70">
        <v>36</v>
      </c>
      <c r="D144" s="70">
        <v>36</v>
      </c>
      <c r="E144" s="70">
        <v>23</v>
      </c>
      <c r="F144" s="70">
        <v>32</v>
      </c>
      <c r="G144" s="70">
        <v>29</v>
      </c>
      <c r="H144" s="70">
        <v>32</v>
      </c>
      <c r="I144" s="70">
        <v>33</v>
      </c>
      <c r="J144" s="70">
        <v>29</v>
      </c>
      <c r="K144" s="70">
        <v>27</v>
      </c>
      <c r="L144" s="70">
        <v>25</v>
      </c>
      <c r="M144" s="70">
        <v>27</v>
      </c>
      <c r="N144" s="70">
        <v>35</v>
      </c>
      <c r="O144" s="68" t="s">
        <v>274</v>
      </c>
      <c r="P144">
        <f t="shared" si="6"/>
        <v>364</v>
      </c>
      <c r="Q144">
        <f t="shared" si="7"/>
        <v>60.666666666666671</v>
      </c>
      <c r="R144">
        <f t="shared" si="8"/>
        <v>24.266666666666669</v>
      </c>
    </row>
    <row r="145" spans="1:18" x14ac:dyDescent="0.25">
      <c r="A145" s="68">
        <v>13</v>
      </c>
      <c r="B145" s="69" t="s">
        <v>149</v>
      </c>
      <c r="C145" s="70">
        <v>24</v>
      </c>
      <c r="D145" s="70">
        <v>29</v>
      </c>
      <c r="E145" s="70">
        <v>16</v>
      </c>
      <c r="F145" s="70">
        <v>24</v>
      </c>
      <c r="G145" s="70">
        <v>23</v>
      </c>
      <c r="H145" s="70">
        <v>16</v>
      </c>
      <c r="I145" s="70">
        <v>19</v>
      </c>
      <c r="J145" s="70">
        <v>19</v>
      </c>
      <c r="K145" s="70">
        <v>23</v>
      </c>
      <c r="L145" s="70">
        <v>32</v>
      </c>
      <c r="M145" s="70">
        <v>21</v>
      </c>
      <c r="N145" s="70">
        <v>29</v>
      </c>
      <c r="O145" s="68" t="s">
        <v>274</v>
      </c>
      <c r="P145">
        <f t="shared" si="6"/>
        <v>275</v>
      </c>
      <c r="Q145">
        <f t="shared" si="7"/>
        <v>45.833333333333329</v>
      </c>
      <c r="R145">
        <f t="shared" si="8"/>
        <v>18.333333333333332</v>
      </c>
    </row>
    <row r="146" spans="1:18" x14ac:dyDescent="0.25">
      <c r="A146" s="68">
        <v>14</v>
      </c>
      <c r="B146" s="69" t="s">
        <v>150</v>
      </c>
      <c r="C146" s="70">
        <v>26</v>
      </c>
      <c r="D146" s="70">
        <v>28</v>
      </c>
      <c r="E146" s="70">
        <v>11</v>
      </c>
      <c r="F146" s="70">
        <v>21</v>
      </c>
      <c r="G146" s="70">
        <v>32</v>
      </c>
      <c r="H146" s="70">
        <v>21</v>
      </c>
      <c r="I146" s="70">
        <v>20</v>
      </c>
      <c r="J146" s="70">
        <v>33</v>
      </c>
      <c r="K146" s="70">
        <v>33</v>
      </c>
      <c r="L146" s="70">
        <v>23</v>
      </c>
      <c r="M146" s="70">
        <v>23</v>
      </c>
      <c r="N146" s="70">
        <v>26</v>
      </c>
      <c r="O146" s="68" t="s">
        <v>274</v>
      </c>
      <c r="P146">
        <f t="shared" si="6"/>
        <v>297</v>
      </c>
      <c r="Q146">
        <f t="shared" si="7"/>
        <v>49.5</v>
      </c>
      <c r="R146">
        <f t="shared" si="8"/>
        <v>19.8</v>
      </c>
    </row>
    <row r="147" spans="1:18" x14ac:dyDescent="0.25">
      <c r="A147" s="68">
        <v>15</v>
      </c>
      <c r="B147" s="69" t="s">
        <v>151</v>
      </c>
      <c r="C147" s="70">
        <v>28</v>
      </c>
      <c r="D147" s="70">
        <v>22</v>
      </c>
      <c r="E147" s="70">
        <v>23</v>
      </c>
      <c r="F147" s="70">
        <v>21</v>
      </c>
      <c r="G147" s="70">
        <v>35</v>
      </c>
      <c r="H147" s="70">
        <v>21</v>
      </c>
      <c r="I147" s="70">
        <v>16</v>
      </c>
      <c r="J147" s="70">
        <v>26</v>
      </c>
      <c r="K147" s="70">
        <v>27</v>
      </c>
      <c r="L147" s="70">
        <v>33</v>
      </c>
      <c r="M147" s="70">
        <v>20</v>
      </c>
      <c r="N147" s="70">
        <v>24</v>
      </c>
      <c r="O147" s="68" t="s">
        <v>274</v>
      </c>
      <c r="P147">
        <f t="shared" si="6"/>
        <v>296</v>
      </c>
      <c r="Q147">
        <f t="shared" si="7"/>
        <v>49.333333333333336</v>
      </c>
      <c r="R147">
        <f t="shared" si="8"/>
        <v>19.733333333333334</v>
      </c>
    </row>
    <row r="148" spans="1:18" x14ac:dyDescent="0.25">
      <c r="A148" s="68">
        <v>16</v>
      </c>
      <c r="B148" s="69" t="s">
        <v>152</v>
      </c>
      <c r="C148" s="70">
        <v>20</v>
      </c>
      <c r="D148" s="70">
        <v>36</v>
      </c>
      <c r="E148" s="70">
        <v>19</v>
      </c>
      <c r="F148" s="70">
        <v>30</v>
      </c>
      <c r="G148" s="70">
        <v>33</v>
      </c>
      <c r="H148" s="70">
        <v>19</v>
      </c>
      <c r="I148" s="70">
        <v>17</v>
      </c>
      <c r="J148" s="70">
        <v>23</v>
      </c>
      <c r="K148" s="70">
        <v>22</v>
      </c>
      <c r="L148" s="70">
        <v>16</v>
      </c>
      <c r="M148" s="70">
        <v>21</v>
      </c>
      <c r="N148" s="70">
        <v>25</v>
      </c>
      <c r="O148" s="68" t="s">
        <v>274</v>
      </c>
      <c r="P148">
        <f t="shared" si="6"/>
        <v>281</v>
      </c>
      <c r="Q148">
        <f t="shared" si="7"/>
        <v>46.833333333333336</v>
      </c>
      <c r="R148">
        <f t="shared" si="8"/>
        <v>18.733333333333334</v>
      </c>
    </row>
    <row r="149" spans="1:18" x14ac:dyDescent="0.25">
      <c r="A149" s="68">
        <v>17</v>
      </c>
      <c r="B149" s="69" t="s">
        <v>153</v>
      </c>
      <c r="C149" s="70">
        <v>27</v>
      </c>
      <c r="D149" s="70">
        <v>27</v>
      </c>
      <c r="E149" s="70">
        <v>5</v>
      </c>
      <c r="F149" s="70">
        <v>26</v>
      </c>
      <c r="G149" s="70">
        <v>29</v>
      </c>
      <c r="H149" s="70">
        <v>21</v>
      </c>
      <c r="I149" s="70">
        <v>19</v>
      </c>
      <c r="J149" s="70">
        <v>21</v>
      </c>
      <c r="K149" s="70">
        <v>21</v>
      </c>
      <c r="L149" s="70">
        <v>32</v>
      </c>
      <c r="M149" s="70">
        <v>26</v>
      </c>
      <c r="N149" s="70">
        <v>27</v>
      </c>
      <c r="O149" s="68" t="s">
        <v>274</v>
      </c>
      <c r="P149">
        <f t="shared" si="6"/>
        <v>281</v>
      </c>
      <c r="Q149">
        <f t="shared" si="7"/>
        <v>46.833333333333336</v>
      </c>
      <c r="R149">
        <f t="shared" si="8"/>
        <v>18.733333333333334</v>
      </c>
    </row>
    <row r="150" spans="1:18" x14ac:dyDescent="0.25">
      <c r="A150" s="68">
        <v>18</v>
      </c>
      <c r="B150" s="69" t="s">
        <v>154</v>
      </c>
      <c r="C150" s="70">
        <v>15</v>
      </c>
      <c r="D150" s="70">
        <v>24</v>
      </c>
      <c r="E150" s="70">
        <v>11</v>
      </c>
      <c r="F150" s="70">
        <v>17</v>
      </c>
      <c r="G150" s="70">
        <v>24</v>
      </c>
      <c r="H150" s="70">
        <v>12</v>
      </c>
      <c r="I150" s="70">
        <v>13</v>
      </c>
      <c r="J150" s="70">
        <v>14</v>
      </c>
      <c r="K150" s="70">
        <v>22</v>
      </c>
      <c r="L150" s="70">
        <v>27</v>
      </c>
      <c r="M150" s="70">
        <v>19</v>
      </c>
      <c r="N150" s="70">
        <v>30</v>
      </c>
      <c r="O150" s="68" t="s">
        <v>274</v>
      </c>
      <c r="P150">
        <f t="shared" si="6"/>
        <v>228</v>
      </c>
      <c r="Q150">
        <f t="shared" si="7"/>
        <v>38</v>
      </c>
      <c r="R150">
        <f t="shared" si="8"/>
        <v>15.200000000000001</v>
      </c>
    </row>
    <row r="151" spans="1:18" x14ac:dyDescent="0.25">
      <c r="A151" s="68">
        <v>19</v>
      </c>
      <c r="B151" s="69" t="s">
        <v>155</v>
      </c>
      <c r="C151" s="70">
        <v>24</v>
      </c>
      <c r="D151" s="70">
        <v>31</v>
      </c>
      <c r="E151" s="70">
        <v>23</v>
      </c>
      <c r="F151" s="70">
        <v>30</v>
      </c>
      <c r="G151" s="70">
        <v>27</v>
      </c>
      <c r="H151" s="70">
        <v>25</v>
      </c>
      <c r="I151" s="70">
        <v>30</v>
      </c>
      <c r="J151" s="70">
        <v>30</v>
      </c>
      <c r="K151" s="70">
        <v>36</v>
      </c>
      <c r="L151" s="70">
        <v>31</v>
      </c>
      <c r="M151" s="70">
        <v>25</v>
      </c>
      <c r="N151" s="70">
        <v>32</v>
      </c>
      <c r="O151" s="68" t="s">
        <v>274</v>
      </c>
      <c r="P151">
        <f t="shared" si="6"/>
        <v>344</v>
      </c>
      <c r="Q151">
        <f t="shared" si="7"/>
        <v>57.333333333333336</v>
      </c>
      <c r="R151">
        <f t="shared" si="8"/>
        <v>22.933333333333337</v>
      </c>
    </row>
    <row r="152" spans="1:18" x14ac:dyDescent="0.25">
      <c r="A152" s="68">
        <v>20</v>
      </c>
      <c r="B152" s="69" t="s">
        <v>156</v>
      </c>
      <c r="C152" s="70">
        <v>28</v>
      </c>
      <c r="D152" s="70">
        <v>36</v>
      </c>
      <c r="E152" s="70">
        <v>27</v>
      </c>
      <c r="F152" s="70">
        <v>37</v>
      </c>
      <c r="G152" s="70">
        <v>38</v>
      </c>
      <c r="H152" s="70">
        <v>21</v>
      </c>
      <c r="I152" s="70"/>
      <c r="J152" s="70"/>
      <c r="K152" s="70"/>
      <c r="L152" s="70"/>
      <c r="M152" s="70"/>
      <c r="N152" s="70"/>
      <c r="O152" s="68" t="s">
        <v>274</v>
      </c>
      <c r="P152">
        <f t="shared" si="6"/>
        <v>187</v>
      </c>
      <c r="Q152">
        <f t="shared" si="7"/>
        <v>31.166666666666664</v>
      </c>
      <c r="R152">
        <f t="shared" si="8"/>
        <v>12.466666666666667</v>
      </c>
    </row>
    <row r="153" spans="1:18" x14ac:dyDescent="0.25">
      <c r="A153" s="68">
        <v>21</v>
      </c>
      <c r="B153" s="69" t="s">
        <v>157</v>
      </c>
      <c r="C153" s="70">
        <v>29</v>
      </c>
      <c r="D153" s="70">
        <v>35</v>
      </c>
      <c r="E153" s="70">
        <v>29</v>
      </c>
      <c r="F153" s="70">
        <v>27</v>
      </c>
      <c r="G153" s="70">
        <v>40</v>
      </c>
      <c r="H153" s="70">
        <v>24</v>
      </c>
      <c r="I153" s="70">
        <v>16</v>
      </c>
      <c r="J153" s="70">
        <v>27</v>
      </c>
      <c r="K153" s="70">
        <v>29</v>
      </c>
      <c r="L153" s="70">
        <v>28</v>
      </c>
      <c r="M153" s="70">
        <v>32</v>
      </c>
      <c r="N153" s="70">
        <v>30</v>
      </c>
      <c r="O153" s="68" t="s">
        <v>274</v>
      </c>
      <c r="P153">
        <f t="shared" si="6"/>
        <v>346</v>
      </c>
      <c r="Q153">
        <f t="shared" si="7"/>
        <v>57.666666666666664</v>
      </c>
      <c r="R153">
        <f t="shared" si="8"/>
        <v>23.066666666666666</v>
      </c>
    </row>
    <row r="154" spans="1:18" x14ac:dyDescent="0.25">
      <c r="A154" s="68">
        <v>22</v>
      </c>
      <c r="B154" s="69" t="s">
        <v>158</v>
      </c>
      <c r="C154" s="70">
        <v>27</v>
      </c>
      <c r="D154" s="70">
        <v>27</v>
      </c>
      <c r="E154" s="70">
        <v>29</v>
      </c>
      <c r="F154" s="70">
        <v>33</v>
      </c>
      <c r="G154" s="70">
        <v>32</v>
      </c>
      <c r="H154" s="70">
        <v>22</v>
      </c>
      <c r="I154" s="70"/>
      <c r="J154" s="70">
        <v>33</v>
      </c>
      <c r="K154" s="70">
        <v>32</v>
      </c>
      <c r="L154" s="70">
        <v>22</v>
      </c>
      <c r="M154" s="70">
        <v>24</v>
      </c>
      <c r="N154" s="70">
        <v>33</v>
      </c>
      <c r="O154" s="68" t="s">
        <v>274</v>
      </c>
      <c r="P154">
        <f t="shared" si="6"/>
        <v>314</v>
      </c>
      <c r="Q154">
        <f t="shared" si="7"/>
        <v>52.333333333333329</v>
      </c>
      <c r="R154">
        <f t="shared" si="8"/>
        <v>20.933333333333334</v>
      </c>
    </row>
    <row r="155" spans="1:18" x14ac:dyDescent="0.25">
      <c r="A155" s="68">
        <v>23</v>
      </c>
      <c r="B155" s="69" t="s">
        <v>159</v>
      </c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68" t="s">
        <v>274</v>
      </c>
      <c r="P155">
        <f t="shared" si="6"/>
        <v>0</v>
      </c>
      <c r="Q155">
        <f t="shared" si="7"/>
        <v>0</v>
      </c>
      <c r="R155">
        <f t="shared" si="8"/>
        <v>0</v>
      </c>
    </row>
    <row r="156" spans="1:18" x14ac:dyDescent="0.25">
      <c r="A156" s="68">
        <v>24</v>
      </c>
      <c r="B156" s="69" t="s">
        <v>160</v>
      </c>
      <c r="C156" s="70">
        <v>21</v>
      </c>
      <c r="D156" s="70">
        <v>34</v>
      </c>
      <c r="E156" s="70">
        <v>17</v>
      </c>
      <c r="F156" s="70">
        <v>22</v>
      </c>
      <c r="G156" s="70">
        <v>30</v>
      </c>
      <c r="H156" s="70">
        <v>25</v>
      </c>
      <c r="I156" s="70">
        <v>27</v>
      </c>
      <c r="J156" s="70">
        <v>29</v>
      </c>
      <c r="K156" s="70">
        <v>19</v>
      </c>
      <c r="L156" s="70">
        <v>18</v>
      </c>
      <c r="M156" s="70">
        <v>31</v>
      </c>
      <c r="N156" s="70">
        <v>39</v>
      </c>
      <c r="O156" s="68" t="s">
        <v>274</v>
      </c>
      <c r="P156">
        <f t="shared" si="6"/>
        <v>312</v>
      </c>
      <c r="Q156">
        <f t="shared" si="7"/>
        <v>52</v>
      </c>
      <c r="R156">
        <f t="shared" si="8"/>
        <v>20.8</v>
      </c>
    </row>
    <row r="157" spans="1:18" x14ac:dyDescent="0.25">
      <c r="A157" s="68">
        <v>25</v>
      </c>
      <c r="B157" s="69" t="s">
        <v>161</v>
      </c>
      <c r="C157" s="70">
        <v>23</v>
      </c>
      <c r="D157" s="70">
        <v>22</v>
      </c>
      <c r="E157" s="70">
        <v>18</v>
      </c>
      <c r="F157" s="70">
        <v>22</v>
      </c>
      <c r="G157" s="70">
        <v>20</v>
      </c>
      <c r="H157" s="70">
        <v>23</v>
      </c>
      <c r="I157" s="70">
        <v>18</v>
      </c>
      <c r="J157" s="70">
        <v>25</v>
      </c>
      <c r="K157" s="70">
        <v>24</v>
      </c>
      <c r="L157" s="70">
        <v>20</v>
      </c>
      <c r="M157" s="70">
        <v>24</v>
      </c>
      <c r="N157" s="70">
        <v>30</v>
      </c>
      <c r="O157" s="68" t="s">
        <v>274</v>
      </c>
      <c r="P157">
        <f t="shared" si="6"/>
        <v>269</v>
      </c>
      <c r="Q157">
        <f t="shared" si="7"/>
        <v>44.833333333333329</v>
      </c>
      <c r="R157">
        <f t="shared" si="8"/>
        <v>17.933333333333334</v>
      </c>
    </row>
    <row r="158" spans="1:18" x14ac:dyDescent="0.25">
      <c r="A158" s="68">
        <v>26</v>
      </c>
      <c r="B158" s="69" t="s">
        <v>162</v>
      </c>
      <c r="C158" s="70">
        <v>33</v>
      </c>
      <c r="D158" s="70">
        <v>37</v>
      </c>
      <c r="E158" s="70">
        <v>28</v>
      </c>
      <c r="F158" s="70">
        <v>30</v>
      </c>
      <c r="G158" s="70">
        <v>32</v>
      </c>
      <c r="H158" s="70">
        <v>29</v>
      </c>
      <c r="I158" s="70"/>
      <c r="J158" s="70">
        <v>44</v>
      </c>
      <c r="K158" s="70">
        <v>43</v>
      </c>
      <c r="L158" s="70">
        <v>38</v>
      </c>
      <c r="M158" s="70">
        <v>36</v>
      </c>
      <c r="N158" s="70">
        <v>41</v>
      </c>
      <c r="O158" s="68" t="s">
        <v>274</v>
      </c>
      <c r="P158">
        <f t="shared" si="6"/>
        <v>391</v>
      </c>
      <c r="Q158">
        <f t="shared" si="7"/>
        <v>65.166666666666657</v>
      </c>
      <c r="R158">
        <f t="shared" si="8"/>
        <v>26.066666666666663</v>
      </c>
    </row>
    <row r="159" spans="1:18" x14ac:dyDescent="0.25">
      <c r="A159" s="68">
        <v>27</v>
      </c>
      <c r="B159" s="69" t="s">
        <v>163</v>
      </c>
      <c r="C159" s="70">
        <v>13</v>
      </c>
      <c r="D159" s="70">
        <v>34</v>
      </c>
      <c r="E159" s="70">
        <v>35</v>
      </c>
      <c r="F159" s="70">
        <v>27</v>
      </c>
      <c r="G159" s="70">
        <v>34</v>
      </c>
      <c r="H159" s="70">
        <v>23</v>
      </c>
      <c r="I159" s="70">
        <v>21</v>
      </c>
      <c r="J159" s="70">
        <v>20</v>
      </c>
      <c r="K159" s="70">
        <v>28</v>
      </c>
      <c r="L159" s="70">
        <v>27</v>
      </c>
      <c r="M159" s="70">
        <v>21</v>
      </c>
      <c r="N159" s="70">
        <v>27</v>
      </c>
      <c r="O159" s="68" t="s">
        <v>274</v>
      </c>
      <c r="P159">
        <f t="shared" si="6"/>
        <v>310</v>
      </c>
      <c r="Q159">
        <f t="shared" si="7"/>
        <v>51.666666666666671</v>
      </c>
      <c r="R159">
        <f t="shared" si="8"/>
        <v>20.666666666666671</v>
      </c>
    </row>
    <row r="160" spans="1:18" x14ac:dyDescent="0.25">
      <c r="A160" s="68">
        <v>28</v>
      </c>
      <c r="B160" s="69" t="s">
        <v>164</v>
      </c>
      <c r="C160" s="70"/>
      <c r="D160" s="70"/>
      <c r="E160" s="70"/>
      <c r="F160" s="70"/>
      <c r="G160" s="70"/>
      <c r="H160" s="70"/>
      <c r="I160" s="70">
        <v>17</v>
      </c>
      <c r="J160" s="70">
        <v>20</v>
      </c>
      <c r="K160" s="70">
        <v>23</v>
      </c>
      <c r="L160" s="70">
        <v>31</v>
      </c>
      <c r="M160" s="70">
        <v>23</v>
      </c>
      <c r="N160" s="70">
        <v>28</v>
      </c>
      <c r="O160" s="68" t="s">
        <v>274</v>
      </c>
      <c r="P160">
        <f t="shared" si="6"/>
        <v>142</v>
      </c>
      <c r="Q160">
        <f t="shared" si="7"/>
        <v>23.666666666666668</v>
      </c>
      <c r="R160">
        <f t="shared" si="8"/>
        <v>9.4666666666666668</v>
      </c>
    </row>
    <row r="161" spans="1:18" x14ac:dyDescent="0.25">
      <c r="A161" s="68">
        <v>29</v>
      </c>
      <c r="B161" s="69" t="s">
        <v>165</v>
      </c>
      <c r="C161" s="70">
        <v>22</v>
      </c>
      <c r="D161" s="70">
        <v>28</v>
      </c>
      <c r="E161" s="70">
        <v>20</v>
      </c>
      <c r="F161" s="70">
        <v>24</v>
      </c>
      <c r="G161" s="70">
        <v>15</v>
      </c>
      <c r="H161" s="70">
        <v>16</v>
      </c>
      <c r="I161" s="70">
        <v>22</v>
      </c>
      <c r="J161" s="70">
        <v>19</v>
      </c>
      <c r="K161" s="70">
        <v>24</v>
      </c>
      <c r="L161" s="70">
        <v>38</v>
      </c>
      <c r="M161" s="70">
        <v>27</v>
      </c>
      <c r="N161" s="70">
        <v>32</v>
      </c>
      <c r="O161" s="68" t="s">
        <v>274</v>
      </c>
      <c r="P161">
        <f t="shared" si="6"/>
        <v>287</v>
      </c>
      <c r="Q161">
        <f t="shared" si="7"/>
        <v>47.833333333333336</v>
      </c>
      <c r="R161">
        <f t="shared" si="8"/>
        <v>19.133333333333336</v>
      </c>
    </row>
    <row r="162" spans="1:18" x14ac:dyDescent="0.25">
      <c r="A162" s="68">
        <v>30</v>
      </c>
      <c r="B162" s="69" t="s">
        <v>166</v>
      </c>
      <c r="C162" s="70">
        <v>27</v>
      </c>
      <c r="D162" s="70">
        <v>30</v>
      </c>
      <c r="E162" s="70">
        <v>26</v>
      </c>
      <c r="F162" s="70">
        <v>24</v>
      </c>
      <c r="G162" s="70">
        <v>24</v>
      </c>
      <c r="H162" s="70">
        <v>17</v>
      </c>
      <c r="I162" s="70">
        <v>31</v>
      </c>
      <c r="J162" s="70">
        <v>25</v>
      </c>
      <c r="K162" s="70">
        <v>36</v>
      </c>
      <c r="L162" s="70">
        <v>32</v>
      </c>
      <c r="M162" s="70">
        <v>25</v>
      </c>
      <c r="N162" s="70">
        <v>35</v>
      </c>
      <c r="O162" s="68" t="s">
        <v>274</v>
      </c>
      <c r="P162">
        <f t="shared" si="6"/>
        <v>332</v>
      </c>
      <c r="Q162">
        <f t="shared" si="7"/>
        <v>55.333333333333336</v>
      </c>
      <c r="R162">
        <f t="shared" si="8"/>
        <v>22.133333333333336</v>
      </c>
    </row>
    <row r="163" spans="1:18" x14ac:dyDescent="0.25">
      <c r="A163" s="68">
        <v>31</v>
      </c>
      <c r="B163" s="69" t="s">
        <v>167</v>
      </c>
      <c r="C163" s="70">
        <v>21</v>
      </c>
      <c r="D163" s="70">
        <v>25</v>
      </c>
      <c r="E163" s="70">
        <v>16</v>
      </c>
      <c r="F163" s="70">
        <v>24</v>
      </c>
      <c r="G163" s="70">
        <v>23</v>
      </c>
      <c r="H163" s="70">
        <v>24</v>
      </c>
      <c r="I163" s="70">
        <v>15</v>
      </c>
      <c r="J163" s="70">
        <v>18</v>
      </c>
      <c r="K163" s="70">
        <v>27</v>
      </c>
      <c r="L163" s="70">
        <v>43</v>
      </c>
      <c r="M163" s="70">
        <v>25</v>
      </c>
      <c r="N163" s="70">
        <v>28</v>
      </c>
      <c r="O163" s="68" t="s">
        <v>274</v>
      </c>
      <c r="P163">
        <f t="shared" si="6"/>
        <v>289</v>
      </c>
      <c r="Q163">
        <f t="shared" si="7"/>
        <v>48.166666666666671</v>
      </c>
      <c r="R163">
        <f t="shared" si="8"/>
        <v>19.266666666666669</v>
      </c>
    </row>
    <row r="164" spans="1:18" x14ac:dyDescent="0.25">
      <c r="A164" s="68">
        <v>32</v>
      </c>
      <c r="B164" s="69" t="s">
        <v>168</v>
      </c>
      <c r="C164" s="70">
        <v>21</v>
      </c>
      <c r="D164" s="70">
        <v>21</v>
      </c>
      <c r="E164" s="70">
        <v>18</v>
      </c>
      <c r="F164" s="70">
        <v>20</v>
      </c>
      <c r="G164" s="70">
        <v>15</v>
      </c>
      <c r="H164" s="70">
        <v>21</v>
      </c>
      <c r="I164" s="70">
        <v>13</v>
      </c>
      <c r="J164" s="70">
        <v>22</v>
      </c>
      <c r="K164" s="70">
        <v>27</v>
      </c>
      <c r="L164" s="70">
        <v>19</v>
      </c>
      <c r="M164" s="70">
        <v>21</v>
      </c>
      <c r="N164" s="70">
        <v>23</v>
      </c>
      <c r="O164" s="68" t="s">
        <v>274</v>
      </c>
      <c r="P164">
        <f t="shared" si="6"/>
        <v>241</v>
      </c>
      <c r="Q164">
        <f t="shared" si="7"/>
        <v>40.166666666666664</v>
      </c>
      <c r="R164">
        <f t="shared" si="8"/>
        <v>16.066666666666666</v>
      </c>
    </row>
    <row r="165" spans="1:18" x14ac:dyDescent="0.25">
      <c r="A165" s="68">
        <v>33</v>
      </c>
      <c r="B165" s="69" t="s">
        <v>169</v>
      </c>
      <c r="C165" s="70">
        <v>38</v>
      </c>
      <c r="D165" s="70">
        <v>44</v>
      </c>
      <c r="E165" s="70">
        <v>46</v>
      </c>
      <c r="F165" s="70">
        <v>49</v>
      </c>
      <c r="G165" s="70">
        <v>44</v>
      </c>
      <c r="H165" s="70">
        <v>42</v>
      </c>
      <c r="I165" s="70">
        <v>30</v>
      </c>
      <c r="J165" s="70">
        <v>44</v>
      </c>
      <c r="K165" s="70"/>
      <c r="L165" s="70">
        <v>26</v>
      </c>
      <c r="M165" s="70">
        <v>39</v>
      </c>
      <c r="N165" s="70">
        <v>34</v>
      </c>
      <c r="O165" s="68" t="s">
        <v>274</v>
      </c>
      <c r="P165">
        <f t="shared" si="6"/>
        <v>436</v>
      </c>
      <c r="Q165">
        <f t="shared" si="7"/>
        <v>72.666666666666671</v>
      </c>
      <c r="R165">
        <f t="shared" si="8"/>
        <v>29.06666666666667</v>
      </c>
    </row>
    <row r="166" spans="1:18" x14ac:dyDescent="0.25">
      <c r="A166" s="68">
        <v>34</v>
      </c>
      <c r="B166" s="69" t="s">
        <v>170</v>
      </c>
      <c r="C166" s="70">
        <v>27</v>
      </c>
      <c r="D166" s="70">
        <v>27</v>
      </c>
      <c r="E166" s="70">
        <v>17</v>
      </c>
      <c r="F166" s="70">
        <v>30</v>
      </c>
      <c r="G166" s="70">
        <v>21</v>
      </c>
      <c r="H166" s="70">
        <v>26</v>
      </c>
      <c r="I166" s="70">
        <v>19</v>
      </c>
      <c r="J166" s="70">
        <v>25</v>
      </c>
      <c r="K166" s="70">
        <v>18</v>
      </c>
      <c r="L166" s="70">
        <v>20</v>
      </c>
      <c r="M166" s="70">
        <v>26</v>
      </c>
      <c r="N166" s="70">
        <v>34</v>
      </c>
      <c r="O166" s="68" t="s">
        <v>274</v>
      </c>
      <c r="P166">
        <f t="shared" si="6"/>
        <v>290</v>
      </c>
      <c r="Q166">
        <f t="shared" si="7"/>
        <v>48.333333333333336</v>
      </c>
      <c r="R166">
        <f t="shared" si="8"/>
        <v>19.333333333333336</v>
      </c>
    </row>
    <row r="167" spans="1:18" x14ac:dyDescent="0.25">
      <c r="A167" s="68">
        <v>35</v>
      </c>
      <c r="B167" s="69" t="s">
        <v>171</v>
      </c>
      <c r="C167" s="70">
        <v>25</v>
      </c>
      <c r="D167" s="70">
        <v>25</v>
      </c>
      <c r="E167" s="70">
        <v>31</v>
      </c>
      <c r="F167" s="70">
        <v>39</v>
      </c>
      <c r="G167" s="70">
        <v>44</v>
      </c>
      <c r="H167" s="70">
        <v>23</v>
      </c>
      <c r="I167" s="70">
        <v>31</v>
      </c>
      <c r="J167" s="70">
        <v>44</v>
      </c>
      <c r="K167" s="70">
        <v>38</v>
      </c>
      <c r="L167" s="70">
        <v>35</v>
      </c>
      <c r="M167" s="70">
        <v>39</v>
      </c>
      <c r="N167" s="70">
        <v>46</v>
      </c>
      <c r="O167" s="68" t="s">
        <v>275</v>
      </c>
      <c r="P167">
        <f t="shared" si="6"/>
        <v>420</v>
      </c>
      <c r="Q167">
        <f t="shared" si="7"/>
        <v>70</v>
      </c>
      <c r="R167">
        <f t="shared" si="8"/>
        <v>28</v>
      </c>
    </row>
    <row r="168" spans="1:18" x14ac:dyDescent="0.25">
      <c r="A168" s="68">
        <v>36</v>
      </c>
      <c r="B168" s="69" t="s">
        <v>172</v>
      </c>
      <c r="C168" s="70">
        <v>23</v>
      </c>
      <c r="D168" s="70">
        <v>23</v>
      </c>
      <c r="E168" s="70">
        <v>17</v>
      </c>
      <c r="F168" s="70">
        <v>26</v>
      </c>
      <c r="G168" s="70">
        <v>13</v>
      </c>
      <c r="H168" s="70">
        <v>17</v>
      </c>
      <c r="I168" s="70">
        <v>20</v>
      </c>
      <c r="J168" s="70">
        <v>20</v>
      </c>
      <c r="K168" s="70">
        <v>22</v>
      </c>
      <c r="L168" s="70">
        <v>27</v>
      </c>
      <c r="M168" s="70">
        <v>19</v>
      </c>
      <c r="N168" s="70">
        <v>31</v>
      </c>
      <c r="O168" s="68" t="s">
        <v>275</v>
      </c>
      <c r="P168">
        <f t="shared" si="6"/>
        <v>258</v>
      </c>
      <c r="Q168">
        <f t="shared" si="7"/>
        <v>43</v>
      </c>
      <c r="R168">
        <f t="shared" si="8"/>
        <v>17.2</v>
      </c>
    </row>
    <row r="169" spans="1:18" x14ac:dyDescent="0.25">
      <c r="A169" s="68">
        <v>37</v>
      </c>
      <c r="B169" s="69" t="s">
        <v>173</v>
      </c>
      <c r="C169" s="70">
        <v>38</v>
      </c>
      <c r="D169" s="70">
        <v>37</v>
      </c>
      <c r="E169" s="70">
        <v>29</v>
      </c>
      <c r="F169" s="70">
        <v>35</v>
      </c>
      <c r="G169" s="70">
        <v>34</v>
      </c>
      <c r="H169" s="70">
        <v>27</v>
      </c>
      <c r="I169" s="70">
        <v>20</v>
      </c>
      <c r="J169" s="70">
        <v>20</v>
      </c>
      <c r="K169" s="70">
        <v>18</v>
      </c>
      <c r="L169" s="70">
        <v>27</v>
      </c>
      <c r="M169" s="70">
        <v>13</v>
      </c>
      <c r="N169" s="70">
        <v>29</v>
      </c>
      <c r="O169" s="68" t="s">
        <v>275</v>
      </c>
      <c r="P169">
        <f t="shared" si="6"/>
        <v>327</v>
      </c>
      <c r="Q169">
        <f t="shared" si="7"/>
        <v>54.500000000000007</v>
      </c>
      <c r="R169">
        <f t="shared" si="8"/>
        <v>21.800000000000004</v>
      </c>
    </row>
    <row r="170" spans="1:18" x14ac:dyDescent="0.25">
      <c r="A170" s="68">
        <v>38</v>
      </c>
      <c r="B170" s="69" t="s">
        <v>174</v>
      </c>
      <c r="C170" s="70"/>
      <c r="D170" s="70"/>
      <c r="E170" s="70"/>
      <c r="F170" s="70"/>
      <c r="G170" s="70"/>
      <c r="H170" s="70"/>
      <c r="I170" s="70"/>
      <c r="J170" s="70">
        <v>21</v>
      </c>
      <c r="K170" s="70">
        <v>38</v>
      </c>
      <c r="L170" s="70">
        <v>34</v>
      </c>
      <c r="M170" s="70">
        <v>24</v>
      </c>
      <c r="N170" s="70">
        <v>35</v>
      </c>
      <c r="O170" s="68" t="s">
        <v>275</v>
      </c>
      <c r="P170">
        <f t="shared" si="6"/>
        <v>152</v>
      </c>
      <c r="Q170">
        <f t="shared" si="7"/>
        <v>25.333333333333336</v>
      </c>
      <c r="R170">
        <f t="shared" si="8"/>
        <v>10.133333333333335</v>
      </c>
    </row>
    <row r="171" spans="1:18" x14ac:dyDescent="0.25">
      <c r="A171" s="68">
        <v>39</v>
      </c>
      <c r="B171" s="69" t="s">
        <v>175</v>
      </c>
      <c r="C171" s="70">
        <v>39</v>
      </c>
      <c r="D171" s="70">
        <v>43</v>
      </c>
      <c r="E171" s="70">
        <v>41</v>
      </c>
      <c r="F171" s="70">
        <v>39</v>
      </c>
      <c r="G171" s="70">
        <v>43</v>
      </c>
      <c r="H171" s="70">
        <v>39</v>
      </c>
      <c r="I171" s="70">
        <v>41</v>
      </c>
      <c r="J171" s="70">
        <v>45</v>
      </c>
      <c r="K171" s="70">
        <v>39</v>
      </c>
      <c r="L171" s="70">
        <v>38</v>
      </c>
      <c r="M171" s="70">
        <v>42</v>
      </c>
      <c r="N171" s="70">
        <v>45</v>
      </c>
      <c r="O171" s="68" t="s">
        <v>275</v>
      </c>
      <c r="P171">
        <f t="shared" si="6"/>
        <v>494</v>
      </c>
      <c r="Q171">
        <f t="shared" si="7"/>
        <v>82.333333333333343</v>
      </c>
      <c r="R171">
        <f t="shared" si="8"/>
        <v>32.933333333333337</v>
      </c>
    </row>
    <row r="172" spans="1:18" x14ac:dyDescent="0.25">
      <c r="A172" s="68">
        <v>40</v>
      </c>
      <c r="B172" s="69" t="s">
        <v>176</v>
      </c>
      <c r="C172" s="70">
        <v>15</v>
      </c>
      <c r="D172" s="70">
        <v>17</v>
      </c>
      <c r="E172" s="70">
        <v>10</v>
      </c>
      <c r="F172" s="70">
        <v>13</v>
      </c>
      <c r="G172" s="70">
        <v>21</v>
      </c>
      <c r="H172" s="70">
        <v>18</v>
      </c>
      <c r="I172" s="70">
        <v>22</v>
      </c>
      <c r="J172" s="70">
        <v>26</v>
      </c>
      <c r="K172" s="70">
        <v>14</v>
      </c>
      <c r="L172" s="70">
        <v>28</v>
      </c>
      <c r="M172" s="70">
        <v>16</v>
      </c>
      <c r="N172" s="70">
        <v>27</v>
      </c>
      <c r="O172" s="68" t="s">
        <v>275</v>
      </c>
      <c r="P172">
        <f t="shared" si="6"/>
        <v>227</v>
      </c>
      <c r="Q172">
        <f t="shared" si="7"/>
        <v>37.833333333333336</v>
      </c>
      <c r="R172">
        <f t="shared" si="8"/>
        <v>15.133333333333335</v>
      </c>
    </row>
    <row r="173" spans="1:18" x14ac:dyDescent="0.25">
      <c r="A173" s="68">
        <v>41</v>
      </c>
      <c r="B173" s="69" t="s">
        <v>177</v>
      </c>
      <c r="C173" s="70">
        <v>17</v>
      </c>
      <c r="D173" s="70">
        <v>12</v>
      </c>
      <c r="E173" s="70">
        <v>18</v>
      </c>
      <c r="F173" s="70">
        <v>22</v>
      </c>
      <c r="G173" s="70">
        <v>17</v>
      </c>
      <c r="H173" s="70">
        <v>19</v>
      </c>
      <c r="I173" s="70"/>
      <c r="J173" s="70"/>
      <c r="K173" s="70"/>
      <c r="L173" s="70"/>
      <c r="M173" s="70"/>
      <c r="N173" s="70"/>
      <c r="O173" s="68" t="s">
        <v>275</v>
      </c>
      <c r="P173">
        <f t="shared" si="6"/>
        <v>105</v>
      </c>
      <c r="Q173">
        <f t="shared" si="7"/>
        <v>17.5</v>
      </c>
      <c r="R173">
        <f t="shared" si="8"/>
        <v>7</v>
      </c>
    </row>
    <row r="174" spans="1:18" x14ac:dyDescent="0.25">
      <c r="A174" s="68">
        <v>1</v>
      </c>
      <c r="B174" s="69" t="s">
        <v>178</v>
      </c>
      <c r="C174" s="70"/>
      <c r="D174" s="70"/>
      <c r="E174" s="70"/>
      <c r="F174" s="70"/>
      <c r="G174" s="70"/>
      <c r="H174" s="70"/>
      <c r="I174" s="70"/>
      <c r="J174" s="70">
        <v>26</v>
      </c>
      <c r="K174" s="70"/>
      <c r="L174" s="70"/>
      <c r="M174" s="70">
        <v>19</v>
      </c>
      <c r="N174" s="70">
        <v>28</v>
      </c>
      <c r="O174" s="68" t="s">
        <v>276</v>
      </c>
      <c r="P174">
        <f t="shared" si="6"/>
        <v>73</v>
      </c>
      <c r="Q174">
        <f t="shared" si="7"/>
        <v>12.166666666666668</v>
      </c>
      <c r="R174">
        <f t="shared" si="8"/>
        <v>4.8666666666666671</v>
      </c>
    </row>
    <row r="175" spans="1:18" x14ac:dyDescent="0.25">
      <c r="A175" s="68">
        <v>2</v>
      </c>
      <c r="B175" s="69" t="s">
        <v>179</v>
      </c>
      <c r="C175" s="70"/>
      <c r="D175" s="70">
        <v>22</v>
      </c>
      <c r="E175" s="70">
        <v>20</v>
      </c>
      <c r="F175" s="70">
        <v>16</v>
      </c>
      <c r="G175" s="70">
        <v>15</v>
      </c>
      <c r="H175" s="70">
        <v>13</v>
      </c>
      <c r="I175" s="70"/>
      <c r="J175" s="70"/>
      <c r="K175" s="70"/>
      <c r="L175" s="70"/>
      <c r="M175" s="70"/>
      <c r="N175" s="70"/>
      <c r="O175" s="68" t="s">
        <v>276</v>
      </c>
      <c r="P175">
        <f t="shared" si="6"/>
        <v>86</v>
      </c>
      <c r="Q175">
        <f t="shared" si="7"/>
        <v>14.333333333333334</v>
      </c>
      <c r="R175">
        <f t="shared" si="8"/>
        <v>5.7333333333333343</v>
      </c>
    </row>
    <row r="176" spans="1:18" x14ac:dyDescent="0.25">
      <c r="A176" s="68">
        <v>3</v>
      </c>
      <c r="B176" s="69" t="s">
        <v>180</v>
      </c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68" t="s">
        <v>276</v>
      </c>
      <c r="P176">
        <f t="shared" si="6"/>
        <v>0</v>
      </c>
      <c r="Q176">
        <f t="shared" si="7"/>
        <v>0</v>
      </c>
      <c r="R176">
        <f t="shared" si="8"/>
        <v>0</v>
      </c>
    </row>
    <row r="177" spans="1:18" x14ac:dyDescent="0.25">
      <c r="A177" s="68">
        <v>4</v>
      </c>
      <c r="B177" s="69" t="s">
        <v>181</v>
      </c>
      <c r="C177" s="70">
        <v>21</v>
      </c>
      <c r="D177" s="70">
        <v>14</v>
      </c>
      <c r="E177" s="70">
        <v>18</v>
      </c>
      <c r="F177" s="70">
        <v>30</v>
      </c>
      <c r="G177" s="70">
        <v>24</v>
      </c>
      <c r="H177" s="70">
        <v>20</v>
      </c>
      <c r="I177" s="70"/>
      <c r="J177" s="70">
        <v>20</v>
      </c>
      <c r="K177" s="70">
        <v>18</v>
      </c>
      <c r="L177" s="70">
        <v>16</v>
      </c>
      <c r="M177" s="70">
        <v>25</v>
      </c>
      <c r="N177" s="70">
        <v>32</v>
      </c>
      <c r="O177" s="68" t="s">
        <v>276</v>
      </c>
      <c r="P177">
        <f t="shared" si="6"/>
        <v>238</v>
      </c>
      <c r="Q177">
        <f t="shared" si="7"/>
        <v>39.666666666666664</v>
      </c>
      <c r="R177">
        <f t="shared" si="8"/>
        <v>15.866666666666667</v>
      </c>
    </row>
    <row r="178" spans="1:18" x14ac:dyDescent="0.25">
      <c r="A178" s="68">
        <v>5</v>
      </c>
      <c r="B178" s="69" t="s">
        <v>182</v>
      </c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68" t="s">
        <v>276</v>
      </c>
      <c r="P178">
        <f t="shared" si="6"/>
        <v>0</v>
      </c>
      <c r="Q178">
        <f t="shared" si="7"/>
        <v>0</v>
      </c>
      <c r="R178">
        <f t="shared" si="8"/>
        <v>0</v>
      </c>
    </row>
    <row r="179" spans="1:18" x14ac:dyDescent="0.25">
      <c r="A179" s="68">
        <v>6</v>
      </c>
      <c r="B179" s="69" t="s">
        <v>183</v>
      </c>
      <c r="C179" s="70"/>
      <c r="D179" s="70"/>
      <c r="E179" s="70"/>
      <c r="F179" s="70"/>
      <c r="G179" s="70"/>
      <c r="H179" s="70"/>
      <c r="I179" s="70"/>
      <c r="J179" s="70">
        <v>25</v>
      </c>
      <c r="K179" s="70"/>
      <c r="L179" s="70">
        <v>24</v>
      </c>
      <c r="M179" s="70"/>
      <c r="N179" s="70">
        <v>32</v>
      </c>
      <c r="O179" s="68" t="s">
        <v>276</v>
      </c>
      <c r="P179">
        <f t="shared" si="6"/>
        <v>81</v>
      </c>
      <c r="Q179">
        <f t="shared" si="7"/>
        <v>13.5</v>
      </c>
      <c r="R179">
        <f t="shared" si="8"/>
        <v>5.4</v>
      </c>
    </row>
    <row r="180" spans="1:18" x14ac:dyDescent="0.25">
      <c r="A180" s="68">
        <v>7</v>
      </c>
      <c r="B180" s="69" t="s">
        <v>184</v>
      </c>
      <c r="C180" s="70"/>
      <c r="D180" s="70"/>
      <c r="E180" s="70"/>
      <c r="F180" s="70"/>
      <c r="G180" s="70"/>
      <c r="H180" s="70"/>
      <c r="I180" s="70">
        <v>24</v>
      </c>
      <c r="J180" s="70">
        <v>29</v>
      </c>
      <c r="K180" s="70">
        <v>36</v>
      </c>
      <c r="L180" s="70">
        <v>29</v>
      </c>
      <c r="M180" s="70">
        <v>29</v>
      </c>
      <c r="N180" s="70">
        <v>37</v>
      </c>
      <c r="O180" s="68" t="s">
        <v>276</v>
      </c>
      <c r="P180">
        <f t="shared" si="6"/>
        <v>184</v>
      </c>
      <c r="Q180">
        <f t="shared" si="7"/>
        <v>30.666666666666664</v>
      </c>
      <c r="R180">
        <f t="shared" si="8"/>
        <v>12.266666666666666</v>
      </c>
    </row>
    <row r="181" spans="1:18" x14ac:dyDescent="0.25">
      <c r="A181" s="68">
        <v>8</v>
      </c>
      <c r="B181" s="69" t="s">
        <v>185</v>
      </c>
      <c r="C181" s="70"/>
      <c r="D181" s="70"/>
      <c r="E181" s="70"/>
      <c r="F181" s="70"/>
      <c r="G181" s="70"/>
      <c r="H181" s="70"/>
      <c r="I181" s="70">
        <v>37</v>
      </c>
      <c r="J181" s="70"/>
      <c r="K181" s="70">
        <v>42</v>
      </c>
      <c r="L181" s="70">
        <v>43</v>
      </c>
      <c r="M181" s="70"/>
      <c r="N181" s="70"/>
      <c r="O181" s="68" t="s">
        <v>276</v>
      </c>
      <c r="P181">
        <f t="shared" si="6"/>
        <v>122</v>
      </c>
      <c r="Q181">
        <f t="shared" si="7"/>
        <v>20.333333333333332</v>
      </c>
      <c r="R181">
        <f t="shared" si="8"/>
        <v>8.1333333333333329</v>
      </c>
    </row>
    <row r="182" spans="1:18" x14ac:dyDescent="0.25">
      <c r="A182" s="68">
        <v>1</v>
      </c>
      <c r="B182" s="69" t="s">
        <v>186</v>
      </c>
      <c r="C182" s="70">
        <v>40</v>
      </c>
      <c r="D182" s="70">
        <v>38</v>
      </c>
      <c r="E182" s="70">
        <v>30</v>
      </c>
      <c r="F182" s="70">
        <v>38</v>
      </c>
      <c r="G182" s="70">
        <v>40</v>
      </c>
      <c r="H182" s="70">
        <v>34</v>
      </c>
      <c r="I182" s="70">
        <v>31</v>
      </c>
      <c r="J182" s="70">
        <v>33</v>
      </c>
      <c r="K182" s="70">
        <v>42</v>
      </c>
      <c r="L182" s="70">
        <v>32</v>
      </c>
      <c r="M182" s="70">
        <v>31</v>
      </c>
      <c r="N182" s="70">
        <v>41</v>
      </c>
      <c r="O182" s="68" t="s">
        <v>277</v>
      </c>
      <c r="P182">
        <f t="shared" si="6"/>
        <v>430</v>
      </c>
      <c r="Q182">
        <f t="shared" si="7"/>
        <v>71.666666666666671</v>
      </c>
      <c r="R182">
        <f t="shared" si="8"/>
        <v>28.666666666666671</v>
      </c>
    </row>
    <row r="183" spans="1:18" x14ac:dyDescent="0.25">
      <c r="A183" s="68">
        <v>2</v>
      </c>
      <c r="B183" s="69" t="s">
        <v>187</v>
      </c>
      <c r="C183" s="70">
        <v>27</v>
      </c>
      <c r="D183" s="70">
        <v>24</v>
      </c>
      <c r="E183" s="70">
        <v>26</v>
      </c>
      <c r="F183" s="70">
        <v>30</v>
      </c>
      <c r="G183" s="70">
        <v>36</v>
      </c>
      <c r="H183" s="70">
        <v>24</v>
      </c>
      <c r="I183" s="70">
        <v>26</v>
      </c>
      <c r="J183" s="70">
        <v>29</v>
      </c>
      <c r="K183" s="70">
        <v>30</v>
      </c>
      <c r="L183" s="70">
        <v>27</v>
      </c>
      <c r="M183" s="70">
        <v>31</v>
      </c>
      <c r="N183" s="70">
        <v>31</v>
      </c>
      <c r="O183" s="68" t="s">
        <v>277</v>
      </c>
      <c r="P183">
        <f t="shared" si="6"/>
        <v>341</v>
      </c>
      <c r="Q183">
        <f t="shared" si="7"/>
        <v>56.833333333333336</v>
      </c>
      <c r="R183">
        <f t="shared" si="8"/>
        <v>22.733333333333334</v>
      </c>
    </row>
    <row r="184" spans="1:18" x14ac:dyDescent="0.25">
      <c r="A184" s="68">
        <v>3</v>
      </c>
      <c r="B184" s="69" t="s">
        <v>188</v>
      </c>
      <c r="C184" s="70">
        <v>31</v>
      </c>
      <c r="D184" s="70">
        <v>28</v>
      </c>
      <c r="E184" s="70">
        <v>22</v>
      </c>
      <c r="F184" s="70">
        <v>31</v>
      </c>
      <c r="G184" s="70">
        <v>25</v>
      </c>
      <c r="H184" s="70">
        <v>24</v>
      </c>
      <c r="I184" s="70"/>
      <c r="J184" s="70">
        <v>21</v>
      </c>
      <c r="K184" s="70">
        <v>21</v>
      </c>
      <c r="L184" s="70">
        <v>16</v>
      </c>
      <c r="M184" s="70"/>
      <c r="N184" s="70"/>
      <c r="O184" s="68" t="s">
        <v>277</v>
      </c>
      <c r="P184">
        <f t="shared" si="6"/>
        <v>219</v>
      </c>
      <c r="Q184">
        <f t="shared" si="7"/>
        <v>36.5</v>
      </c>
      <c r="R184">
        <f t="shared" si="8"/>
        <v>14.600000000000001</v>
      </c>
    </row>
    <row r="185" spans="1:18" x14ac:dyDescent="0.25">
      <c r="A185" s="68">
        <v>4</v>
      </c>
      <c r="B185" s="69" t="s">
        <v>189</v>
      </c>
      <c r="C185" s="70">
        <v>39</v>
      </c>
      <c r="D185" s="70">
        <v>41</v>
      </c>
      <c r="E185" s="70">
        <v>34</v>
      </c>
      <c r="F185" s="70">
        <v>43</v>
      </c>
      <c r="G185" s="70">
        <v>47</v>
      </c>
      <c r="H185" s="70">
        <v>41</v>
      </c>
      <c r="I185" s="70">
        <v>29</v>
      </c>
      <c r="J185" s="70">
        <v>45</v>
      </c>
      <c r="K185" s="70">
        <v>42</v>
      </c>
      <c r="L185" s="70">
        <v>37</v>
      </c>
      <c r="M185" s="70">
        <v>38</v>
      </c>
      <c r="N185" s="70">
        <v>45</v>
      </c>
      <c r="O185" s="68" t="s">
        <v>277</v>
      </c>
      <c r="P185">
        <f t="shared" si="6"/>
        <v>481</v>
      </c>
      <c r="Q185">
        <f t="shared" si="7"/>
        <v>80.166666666666657</v>
      </c>
      <c r="R185">
        <f t="shared" si="8"/>
        <v>32.066666666666663</v>
      </c>
    </row>
    <row r="186" spans="1:18" x14ac:dyDescent="0.25">
      <c r="A186" s="68">
        <v>5</v>
      </c>
      <c r="B186" s="69" t="s">
        <v>190</v>
      </c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68" t="s">
        <v>277</v>
      </c>
      <c r="P186">
        <f t="shared" si="6"/>
        <v>0</v>
      </c>
      <c r="Q186">
        <f t="shared" si="7"/>
        <v>0</v>
      </c>
      <c r="R186">
        <f t="shared" si="8"/>
        <v>0</v>
      </c>
    </row>
    <row r="187" spans="1:18" x14ac:dyDescent="0.25">
      <c r="A187" s="68">
        <v>6</v>
      </c>
      <c r="B187" s="69" t="s">
        <v>191</v>
      </c>
      <c r="C187" s="70">
        <v>34</v>
      </c>
      <c r="D187" s="70">
        <v>34</v>
      </c>
      <c r="E187" s="70">
        <v>30</v>
      </c>
      <c r="F187" s="70">
        <v>36</v>
      </c>
      <c r="G187" s="70">
        <v>39</v>
      </c>
      <c r="H187" s="70">
        <v>35</v>
      </c>
      <c r="I187" s="70">
        <v>22</v>
      </c>
      <c r="J187" s="70">
        <v>37</v>
      </c>
      <c r="K187" s="70">
        <v>43</v>
      </c>
      <c r="L187" s="70">
        <v>33</v>
      </c>
      <c r="M187" s="70">
        <v>29</v>
      </c>
      <c r="N187" s="70">
        <v>44</v>
      </c>
      <c r="O187" s="68" t="s">
        <v>277</v>
      </c>
      <c r="P187">
        <f t="shared" si="6"/>
        <v>416</v>
      </c>
      <c r="Q187">
        <f t="shared" si="7"/>
        <v>69.333333333333343</v>
      </c>
      <c r="R187">
        <f t="shared" si="8"/>
        <v>27.733333333333338</v>
      </c>
    </row>
    <row r="188" spans="1:18" x14ac:dyDescent="0.25">
      <c r="A188" s="68">
        <v>7</v>
      </c>
      <c r="B188" s="69" t="s">
        <v>192</v>
      </c>
      <c r="C188" s="70">
        <v>44</v>
      </c>
      <c r="D188" s="70">
        <v>44</v>
      </c>
      <c r="E188" s="70">
        <v>45</v>
      </c>
      <c r="F188" s="70">
        <v>48</v>
      </c>
      <c r="G188" s="70">
        <v>48</v>
      </c>
      <c r="H188" s="70">
        <v>42</v>
      </c>
      <c r="I188" s="70">
        <v>39</v>
      </c>
      <c r="J188" s="70">
        <v>46</v>
      </c>
      <c r="K188" s="70">
        <v>31</v>
      </c>
      <c r="L188" s="70">
        <v>16</v>
      </c>
      <c r="M188" s="70">
        <v>39</v>
      </c>
      <c r="N188" s="70">
        <v>44</v>
      </c>
      <c r="O188" s="68" t="s">
        <v>277</v>
      </c>
      <c r="P188">
        <f t="shared" si="6"/>
        <v>486</v>
      </c>
      <c r="Q188">
        <f t="shared" si="7"/>
        <v>81</v>
      </c>
      <c r="R188">
        <f t="shared" si="8"/>
        <v>32.4</v>
      </c>
    </row>
    <row r="189" spans="1:18" x14ac:dyDescent="0.25">
      <c r="A189" s="68">
        <v>8</v>
      </c>
      <c r="B189" s="69" t="s">
        <v>193</v>
      </c>
      <c r="C189" s="70">
        <v>32</v>
      </c>
      <c r="D189" s="70">
        <v>34</v>
      </c>
      <c r="E189" s="70">
        <v>26</v>
      </c>
      <c r="F189" s="70">
        <v>27</v>
      </c>
      <c r="G189" s="70">
        <v>34</v>
      </c>
      <c r="H189" s="70">
        <v>34</v>
      </c>
      <c r="I189" s="70">
        <v>29</v>
      </c>
      <c r="J189" s="70">
        <v>38</v>
      </c>
      <c r="K189" s="70">
        <v>42</v>
      </c>
      <c r="L189" s="70"/>
      <c r="M189" s="70">
        <v>36</v>
      </c>
      <c r="N189" s="70">
        <v>46</v>
      </c>
      <c r="O189" s="68" t="s">
        <v>277</v>
      </c>
      <c r="P189">
        <f t="shared" si="6"/>
        <v>378</v>
      </c>
      <c r="Q189">
        <f t="shared" si="7"/>
        <v>63</v>
      </c>
      <c r="R189">
        <f t="shared" si="8"/>
        <v>25.200000000000003</v>
      </c>
    </row>
    <row r="190" spans="1:18" x14ac:dyDescent="0.25">
      <c r="A190" s="68">
        <v>9</v>
      </c>
      <c r="B190" s="69" t="s">
        <v>194</v>
      </c>
      <c r="C190" s="70">
        <v>37</v>
      </c>
      <c r="D190" s="70">
        <v>40</v>
      </c>
      <c r="E190" s="70">
        <v>35</v>
      </c>
      <c r="F190" s="70">
        <v>42</v>
      </c>
      <c r="G190" s="70">
        <v>40</v>
      </c>
      <c r="H190" s="70">
        <v>32</v>
      </c>
      <c r="I190" s="70">
        <v>37</v>
      </c>
      <c r="J190" s="70">
        <v>45</v>
      </c>
      <c r="K190" s="70">
        <v>40</v>
      </c>
      <c r="L190" s="70">
        <v>36</v>
      </c>
      <c r="M190" s="70">
        <v>41</v>
      </c>
      <c r="N190" s="70">
        <v>44</v>
      </c>
      <c r="O190" s="68" t="s">
        <v>277</v>
      </c>
      <c r="P190">
        <f t="shared" si="6"/>
        <v>469</v>
      </c>
      <c r="Q190">
        <f t="shared" si="7"/>
        <v>78.166666666666657</v>
      </c>
      <c r="R190">
        <f t="shared" si="8"/>
        <v>31.266666666666666</v>
      </c>
    </row>
    <row r="191" spans="1:18" x14ac:dyDescent="0.25">
      <c r="A191" s="68">
        <v>10</v>
      </c>
      <c r="B191" s="69" t="s">
        <v>195</v>
      </c>
      <c r="C191" s="70">
        <v>36</v>
      </c>
      <c r="D191" s="70">
        <v>37</v>
      </c>
      <c r="E191" s="70">
        <v>24</v>
      </c>
      <c r="F191" s="70">
        <v>34</v>
      </c>
      <c r="G191" s="70">
        <v>36</v>
      </c>
      <c r="H191" s="70">
        <v>32</v>
      </c>
      <c r="I191" s="70">
        <v>18</v>
      </c>
      <c r="J191" s="70">
        <v>36</v>
      </c>
      <c r="K191" s="70">
        <v>34</v>
      </c>
      <c r="L191" s="70">
        <v>20</v>
      </c>
      <c r="M191" s="70">
        <v>35</v>
      </c>
      <c r="N191" s="70">
        <v>34</v>
      </c>
      <c r="O191" s="68" t="s">
        <v>277</v>
      </c>
      <c r="P191">
        <f t="shared" si="6"/>
        <v>376</v>
      </c>
      <c r="Q191">
        <f t="shared" si="7"/>
        <v>62.666666666666671</v>
      </c>
      <c r="R191">
        <f t="shared" si="8"/>
        <v>25.06666666666667</v>
      </c>
    </row>
    <row r="192" spans="1:18" x14ac:dyDescent="0.25">
      <c r="A192" s="68">
        <v>11</v>
      </c>
      <c r="B192" s="69" t="s">
        <v>196</v>
      </c>
      <c r="C192" s="70">
        <v>28</v>
      </c>
      <c r="D192" s="70">
        <v>31</v>
      </c>
      <c r="E192" s="70">
        <v>18</v>
      </c>
      <c r="F192" s="70">
        <v>29</v>
      </c>
      <c r="G192" s="70">
        <v>26</v>
      </c>
      <c r="H192" s="70">
        <v>24</v>
      </c>
      <c r="I192" s="70">
        <v>18</v>
      </c>
      <c r="J192" s="70">
        <v>26</v>
      </c>
      <c r="K192" s="70">
        <v>31</v>
      </c>
      <c r="L192" s="70">
        <v>23</v>
      </c>
      <c r="M192" s="70">
        <v>30</v>
      </c>
      <c r="N192" s="70">
        <v>31</v>
      </c>
      <c r="O192" s="68" t="s">
        <v>277</v>
      </c>
      <c r="P192">
        <f t="shared" si="6"/>
        <v>315</v>
      </c>
      <c r="Q192">
        <f t="shared" si="7"/>
        <v>52.5</v>
      </c>
      <c r="R192">
        <f t="shared" si="8"/>
        <v>21</v>
      </c>
    </row>
    <row r="193" spans="1:18" x14ac:dyDescent="0.25">
      <c r="A193" s="68">
        <v>12</v>
      </c>
      <c r="B193" s="69" t="s">
        <v>197</v>
      </c>
      <c r="C193" s="70">
        <v>21</v>
      </c>
      <c r="D193" s="70">
        <v>20</v>
      </c>
      <c r="E193" s="70">
        <v>21</v>
      </c>
      <c r="F193" s="70">
        <v>23</v>
      </c>
      <c r="G193" s="70">
        <v>22</v>
      </c>
      <c r="H193" s="70">
        <v>20</v>
      </c>
      <c r="I193" s="70">
        <v>16</v>
      </c>
      <c r="J193" s="70">
        <v>30</v>
      </c>
      <c r="K193" s="70">
        <v>14</v>
      </c>
      <c r="L193" s="70">
        <v>19</v>
      </c>
      <c r="M193" s="70">
        <v>30</v>
      </c>
      <c r="N193" s="70">
        <v>40</v>
      </c>
      <c r="O193" s="68" t="s">
        <v>277</v>
      </c>
      <c r="P193">
        <f t="shared" si="6"/>
        <v>276</v>
      </c>
      <c r="Q193">
        <f t="shared" si="7"/>
        <v>46</v>
      </c>
      <c r="R193">
        <f t="shared" si="8"/>
        <v>18.400000000000002</v>
      </c>
    </row>
    <row r="194" spans="1:18" x14ac:dyDescent="0.25">
      <c r="A194" s="68">
        <v>13</v>
      </c>
      <c r="B194" s="69" t="s">
        <v>198</v>
      </c>
      <c r="C194" s="70">
        <v>19</v>
      </c>
      <c r="D194" s="70">
        <v>31</v>
      </c>
      <c r="E194" s="70">
        <v>14</v>
      </c>
      <c r="F194" s="70">
        <v>12</v>
      </c>
      <c r="G194" s="70">
        <v>19</v>
      </c>
      <c r="H194" s="70">
        <v>18</v>
      </c>
      <c r="I194" s="70">
        <v>15</v>
      </c>
      <c r="J194" s="70">
        <v>25</v>
      </c>
      <c r="K194" s="70">
        <v>25</v>
      </c>
      <c r="L194" s="70">
        <v>22</v>
      </c>
      <c r="M194" s="70">
        <v>22</v>
      </c>
      <c r="N194" s="70">
        <v>27</v>
      </c>
      <c r="O194" s="68" t="s">
        <v>277</v>
      </c>
      <c r="P194">
        <f t="shared" si="6"/>
        <v>249</v>
      </c>
      <c r="Q194">
        <f t="shared" si="7"/>
        <v>41.5</v>
      </c>
      <c r="R194">
        <f t="shared" si="8"/>
        <v>16.600000000000001</v>
      </c>
    </row>
    <row r="195" spans="1:18" x14ac:dyDescent="0.25">
      <c r="A195" s="68">
        <v>14</v>
      </c>
      <c r="B195" s="69" t="s">
        <v>199</v>
      </c>
      <c r="C195" s="70">
        <v>21</v>
      </c>
      <c r="D195" s="70">
        <v>24</v>
      </c>
      <c r="E195" s="70">
        <v>14</v>
      </c>
      <c r="F195" s="70">
        <v>24</v>
      </c>
      <c r="G195" s="70">
        <v>34</v>
      </c>
      <c r="H195" s="70">
        <v>31</v>
      </c>
      <c r="I195" s="70">
        <v>30</v>
      </c>
      <c r="J195" s="70">
        <v>37</v>
      </c>
      <c r="K195" s="70">
        <v>33</v>
      </c>
      <c r="L195" s="70">
        <v>24</v>
      </c>
      <c r="M195" s="70">
        <v>43</v>
      </c>
      <c r="N195" s="70">
        <v>44</v>
      </c>
      <c r="O195" s="68" t="s">
        <v>277</v>
      </c>
      <c r="P195">
        <f t="shared" ref="P195:P228" si="9">SUM(C195:N195)</f>
        <v>359</v>
      </c>
      <c r="Q195">
        <f t="shared" ref="Q195:Q230" si="10">(P195/600)*100</f>
        <v>59.833333333333336</v>
      </c>
      <c r="R195">
        <f t="shared" ref="R195:R230" si="11">Q195*0.4</f>
        <v>23.933333333333337</v>
      </c>
    </row>
    <row r="196" spans="1:18" x14ac:dyDescent="0.25">
      <c r="A196" s="68">
        <v>15</v>
      </c>
      <c r="B196" s="69" t="s">
        <v>200</v>
      </c>
      <c r="C196" s="70">
        <v>26</v>
      </c>
      <c r="D196" s="70">
        <v>44</v>
      </c>
      <c r="E196" s="70">
        <v>27</v>
      </c>
      <c r="F196" s="70">
        <v>25</v>
      </c>
      <c r="G196" s="70">
        <v>34</v>
      </c>
      <c r="H196" s="70">
        <v>23</v>
      </c>
      <c r="I196" s="70">
        <v>29</v>
      </c>
      <c r="J196" s="70">
        <v>36</v>
      </c>
      <c r="K196" s="70">
        <v>37</v>
      </c>
      <c r="L196" s="70">
        <v>28</v>
      </c>
      <c r="M196" s="70">
        <v>36</v>
      </c>
      <c r="N196" s="70">
        <v>36</v>
      </c>
      <c r="O196" s="68" t="s">
        <v>277</v>
      </c>
      <c r="P196">
        <f t="shared" si="9"/>
        <v>381</v>
      </c>
      <c r="Q196">
        <f t="shared" si="10"/>
        <v>63.5</v>
      </c>
      <c r="R196">
        <f t="shared" si="11"/>
        <v>25.400000000000002</v>
      </c>
    </row>
    <row r="197" spans="1:18" x14ac:dyDescent="0.25">
      <c r="A197" s="68">
        <v>16</v>
      </c>
      <c r="B197" s="69" t="s">
        <v>201</v>
      </c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68" t="s">
        <v>277</v>
      </c>
      <c r="P197">
        <f t="shared" si="9"/>
        <v>0</v>
      </c>
      <c r="Q197">
        <f t="shared" si="10"/>
        <v>0</v>
      </c>
      <c r="R197">
        <f t="shared" si="11"/>
        <v>0</v>
      </c>
    </row>
    <row r="198" spans="1:18" x14ac:dyDescent="0.25">
      <c r="A198" s="68">
        <v>17</v>
      </c>
      <c r="B198" s="69" t="s">
        <v>202</v>
      </c>
      <c r="C198" s="70">
        <v>29</v>
      </c>
      <c r="D198" s="70">
        <v>34</v>
      </c>
      <c r="E198" s="70">
        <v>26</v>
      </c>
      <c r="F198" s="70">
        <v>35</v>
      </c>
      <c r="G198" s="70">
        <v>39</v>
      </c>
      <c r="H198" s="70">
        <v>26</v>
      </c>
      <c r="I198" s="70">
        <v>28</v>
      </c>
      <c r="J198" s="70">
        <v>41</v>
      </c>
      <c r="K198" s="70">
        <v>37</v>
      </c>
      <c r="L198" s="70">
        <v>32</v>
      </c>
      <c r="M198" s="70">
        <v>32</v>
      </c>
      <c r="N198" s="70">
        <v>42</v>
      </c>
      <c r="O198" s="68" t="s">
        <v>277</v>
      </c>
      <c r="P198">
        <f t="shared" si="9"/>
        <v>401</v>
      </c>
      <c r="Q198">
        <f t="shared" si="10"/>
        <v>66.833333333333329</v>
      </c>
      <c r="R198">
        <f t="shared" si="11"/>
        <v>26.733333333333334</v>
      </c>
    </row>
    <row r="199" spans="1:18" x14ac:dyDescent="0.25">
      <c r="A199" s="68">
        <v>18</v>
      </c>
      <c r="B199" s="69" t="s">
        <v>203</v>
      </c>
      <c r="C199" s="70">
        <v>36</v>
      </c>
      <c r="D199" s="70">
        <v>32</v>
      </c>
      <c r="E199" s="70">
        <v>28</v>
      </c>
      <c r="F199" s="70">
        <v>35</v>
      </c>
      <c r="G199" s="70">
        <v>38</v>
      </c>
      <c r="H199" s="70">
        <v>32</v>
      </c>
      <c r="I199" s="70">
        <v>25</v>
      </c>
      <c r="J199" s="70">
        <v>39</v>
      </c>
      <c r="K199" s="70">
        <v>36</v>
      </c>
      <c r="L199" s="70">
        <v>32</v>
      </c>
      <c r="M199" s="70">
        <v>31</v>
      </c>
      <c r="N199" s="70">
        <v>43</v>
      </c>
      <c r="O199" s="68" t="s">
        <v>277</v>
      </c>
      <c r="P199">
        <f t="shared" si="9"/>
        <v>407</v>
      </c>
      <c r="Q199">
        <f t="shared" si="10"/>
        <v>67.833333333333329</v>
      </c>
      <c r="R199">
        <f t="shared" si="11"/>
        <v>27.133333333333333</v>
      </c>
    </row>
    <row r="200" spans="1:18" x14ac:dyDescent="0.25">
      <c r="A200" s="68">
        <v>19</v>
      </c>
      <c r="B200" s="69" t="s">
        <v>204</v>
      </c>
      <c r="C200" s="70">
        <v>32</v>
      </c>
      <c r="D200" s="70">
        <v>30</v>
      </c>
      <c r="E200" s="70">
        <v>33</v>
      </c>
      <c r="F200" s="70">
        <v>29</v>
      </c>
      <c r="G200" s="70">
        <v>33</v>
      </c>
      <c r="H200" s="70">
        <v>23</v>
      </c>
      <c r="I200" s="70">
        <v>22</v>
      </c>
      <c r="J200" s="70">
        <v>34</v>
      </c>
      <c r="K200" s="70">
        <v>39</v>
      </c>
      <c r="L200" s="70">
        <v>28</v>
      </c>
      <c r="M200" s="70">
        <v>32</v>
      </c>
      <c r="N200" s="70">
        <v>39</v>
      </c>
      <c r="O200" s="68" t="s">
        <v>277</v>
      </c>
      <c r="P200">
        <f t="shared" si="9"/>
        <v>374</v>
      </c>
      <c r="Q200">
        <f t="shared" si="10"/>
        <v>62.333333333333329</v>
      </c>
      <c r="R200">
        <f t="shared" si="11"/>
        <v>24.933333333333334</v>
      </c>
    </row>
    <row r="201" spans="1:18" x14ac:dyDescent="0.25">
      <c r="A201" s="68">
        <v>20</v>
      </c>
      <c r="B201" s="69" t="s">
        <v>205</v>
      </c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68" t="s">
        <v>277</v>
      </c>
      <c r="P201">
        <f t="shared" si="9"/>
        <v>0</v>
      </c>
      <c r="Q201">
        <f t="shared" si="10"/>
        <v>0</v>
      </c>
      <c r="R201">
        <f t="shared" si="11"/>
        <v>0</v>
      </c>
    </row>
    <row r="202" spans="1:18" x14ac:dyDescent="0.25">
      <c r="A202" s="68">
        <v>21</v>
      </c>
      <c r="B202" s="69" t="s">
        <v>206</v>
      </c>
      <c r="C202" s="70">
        <v>41</v>
      </c>
      <c r="D202" s="70">
        <v>41</v>
      </c>
      <c r="E202" s="70">
        <v>39</v>
      </c>
      <c r="F202" s="70">
        <v>46</v>
      </c>
      <c r="G202" s="70">
        <v>46</v>
      </c>
      <c r="H202" s="70">
        <v>42</v>
      </c>
      <c r="I202" s="70">
        <v>42</v>
      </c>
      <c r="J202" s="70">
        <v>44</v>
      </c>
      <c r="K202" s="70">
        <v>42</v>
      </c>
      <c r="L202" s="70">
        <v>38</v>
      </c>
      <c r="M202" s="70">
        <v>38</v>
      </c>
      <c r="N202" s="70">
        <v>39</v>
      </c>
      <c r="O202" s="68" t="s">
        <v>277</v>
      </c>
      <c r="P202">
        <f t="shared" si="9"/>
        <v>498</v>
      </c>
      <c r="Q202">
        <f t="shared" si="10"/>
        <v>83</v>
      </c>
      <c r="R202">
        <f t="shared" si="11"/>
        <v>33.200000000000003</v>
      </c>
    </row>
    <row r="203" spans="1:18" x14ac:dyDescent="0.25">
      <c r="A203" s="68">
        <v>22</v>
      </c>
      <c r="B203" s="69" t="s">
        <v>207</v>
      </c>
      <c r="C203" s="70">
        <v>35</v>
      </c>
      <c r="D203" s="70">
        <v>39</v>
      </c>
      <c r="E203" s="70">
        <v>38</v>
      </c>
      <c r="F203" s="70">
        <v>37</v>
      </c>
      <c r="G203" s="70">
        <v>35</v>
      </c>
      <c r="H203" s="70">
        <v>33</v>
      </c>
      <c r="I203" s="70">
        <v>35</v>
      </c>
      <c r="J203" s="70">
        <v>40</v>
      </c>
      <c r="K203" s="70">
        <v>40</v>
      </c>
      <c r="L203" s="70">
        <v>33</v>
      </c>
      <c r="M203" s="70">
        <v>37</v>
      </c>
      <c r="N203" s="70">
        <v>40</v>
      </c>
      <c r="O203" s="68" t="s">
        <v>277</v>
      </c>
      <c r="P203">
        <f t="shared" si="9"/>
        <v>442</v>
      </c>
      <c r="Q203">
        <f t="shared" si="10"/>
        <v>73.666666666666671</v>
      </c>
      <c r="R203">
        <f t="shared" si="11"/>
        <v>29.466666666666669</v>
      </c>
    </row>
    <row r="204" spans="1:18" x14ac:dyDescent="0.25">
      <c r="A204" s="68">
        <v>23</v>
      </c>
      <c r="B204" s="69" t="s">
        <v>208</v>
      </c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68" t="s">
        <v>277</v>
      </c>
      <c r="P204">
        <f t="shared" si="9"/>
        <v>0</v>
      </c>
      <c r="Q204">
        <f t="shared" si="10"/>
        <v>0</v>
      </c>
      <c r="R204">
        <f t="shared" si="11"/>
        <v>0</v>
      </c>
    </row>
    <row r="205" spans="1:18" x14ac:dyDescent="0.25">
      <c r="A205" s="68">
        <v>24</v>
      </c>
      <c r="B205" s="69" t="s">
        <v>209</v>
      </c>
      <c r="C205" s="70">
        <v>22</v>
      </c>
      <c r="D205" s="70">
        <v>36</v>
      </c>
      <c r="E205" s="70">
        <v>21</v>
      </c>
      <c r="F205" s="70">
        <v>31</v>
      </c>
      <c r="G205" s="70">
        <v>41</v>
      </c>
      <c r="H205" s="70">
        <v>30</v>
      </c>
      <c r="I205" s="70">
        <v>23</v>
      </c>
      <c r="J205" s="70">
        <v>24</v>
      </c>
      <c r="K205" s="70">
        <v>29</v>
      </c>
      <c r="L205" s="70">
        <v>30</v>
      </c>
      <c r="M205" s="70">
        <v>27</v>
      </c>
      <c r="N205" s="70">
        <v>33</v>
      </c>
      <c r="O205" s="68" t="s">
        <v>277</v>
      </c>
      <c r="P205">
        <f t="shared" si="9"/>
        <v>347</v>
      </c>
      <c r="Q205">
        <f t="shared" si="10"/>
        <v>57.833333333333336</v>
      </c>
      <c r="R205">
        <f t="shared" si="11"/>
        <v>23.133333333333336</v>
      </c>
    </row>
    <row r="206" spans="1:18" x14ac:dyDescent="0.25">
      <c r="A206" s="68">
        <v>25</v>
      </c>
      <c r="B206" s="69" t="s">
        <v>210</v>
      </c>
      <c r="C206" s="70">
        <v>35</v>
      </c>
      <c r="D206" s="70">
        <v>36</v>
      </c>
      <c r="E206" s="70">
        <v>29</v>
      </c>
      <c r="F206" s="70">
        <v>36</v>
      </c>
      <c r="G206" s="70">
        <v>29</v>
      </c>
      <c r="H206" s="70">
        <v>30</v>
      </c>
      <c r="I206" s="70">
        <v>17</v>
      </c>
      <c r="J206" s="70">
        <v>34</v>
      </c>
      <c r="K206" s="70">
        <v>36</v>
      </c>
      <c r="L206" s="70">
        <v>33</v>
      </c>
      <c r="M206" s="70">
        <v>26</v>
      </c>
      <c r="N206" s="70">
        <v>33</v>
      </c>
      <c r="O206" s="68" t="s">
        <v>277</v>
      </c>
      <c r="P206">
        <f t="shared" si="9"/>
        <v>374</v>
      </c>
      <c r="Q206">
        <f t="shared" si="10"/>
        <v>62.333333333333329</v>
      </c>
      <c r="R206">
        <f t="shared" si="11"/>
        <v>24.933333333333334</v>
      </c>
    </row>
    <row r="207" spans="1:18" x14ac:dyDescent="0.25">
      <c r="A207" s="68">
        <v>26</v>
      </c>
      <c r="B207" s="69" t="s">
        <v>211</v>
      </c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68" t="s">
        <v>277</v>
      </c>
      <c r="P207">
        <f t="shared" si="9"/>
        <v>0</v>
      </c>
      <c r="Q207">
        <f t="shared" si="10"/>
        <v>0</v>
      </c>
      <c r="R207">
        <f t="shared" si="11"/>
        <v>0</v>
      </c>
    </row>
    <row r="208" spans="1:18" x14ac:dyDescent="0.25">
      <c r="A208" s="68">
        <v>27</v>
      </c>
      <c r="B208" s="69" t="s">
        <v>212</v>
      </c>
      <c r="C208" s="70">
        <v>24</v>
      </c>
      <c r="D208" s="70">
        <v>34</v>
      </c>
      <c r="E208" s="70">
        <v>20</v>
      </c>
      <c r="F208" s="70">
        <v>21</v>
      </c>
      <c r="G208" s="70">
        <v>32</v>
      </c>
      <c r="H208" s="70">
        <v>23</v>
      </c>
      <c r="I208" s="70">
        <v>20</v>
      </c>
      <c r="J208" s="70">
        <v>24</v>
      </c>
      <c r="K208" s="70">
        <v>24</v>
      </c>
      <c r="L208" s="70">
        <v>23</v>
      </c>
      <c r="M208" s="70">
        <v>18</v>
      </c>
      <c r="N208" s="70">
        <v>32</v>
      </c>
      <c r="O208" s="68" t="s">
        <v>277</v>
      </c>
      <c r="P208">
        <f t="shared" si="9"/>
        <v>295</v>
      </c>
      <c r="Q208">
        <f t="shared" si="10"/>
        <v>49.166666666666664</v>
      </c>
      <c r="R208">
        <f t="shared" si="11"/>
        <v>19.666666666666668</v>
      </c>
    </row>
    <row r="209" spans="1:18" x14ac:dyDescent="0.25">
      <c r="A209" s="68">
        <v>28</v>
      </c>
      <c r="B209" s="69" t="s">
        <v>213</v>
      </c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68" t="s">
        <v>277</v>
      </c>
      <c r="P209">
        <f t="shared" si="9"/>
        <v>0</v>
      </c>
      <c r="Q209">
        <f t="shared" si="10"/>
        <v>0</v>
      </c>
      <c r="R209">
        <f t="shared" si="11"/>
        <v>0</v>
      </c>
    </row>
    <row r="210" spans="1:18" x14ac:dyDescent="0.25">
      <c r="A210" s="68">
        <v>29</v>
      </c>
      <c r="B210" s="69" t="s">
        <v>214</v>
      </c>
      <c r="C210" s="70">
        <v>25</v>
      </c>
      <c r="D210" s="70">
        <v>29</v>
      </c>
      <c r="E210" s="70">
        <v>24</v>
      </c>
      <c r="F210" s="70">
        <v>21</v>
      </c>
      <c r="G210" s="70">
        <v>28</v>
      </c>
      <c r="H210" s="70">
        <v>22</v>
      </c>
      <c r="I210" s="70">
        <v>14</v>
      </c>
      <c r="J210" s="70">
        <v>20</v>
      </c>
      <c r="K210" s="70">
        <v>16</v>
      </c>
      <c r="L210" s="70">
        <v>22</v>
      </c>
      <c r="M210" s="70">
        <v>13</v>
      </c>
      <c r="N210" s="70">
        <v>30</v>
      </c>
      <c r="O210" s="68" t="s">
        <v>277</v>
      </c>
      <c r="P210">
        <f t="shared" si="9"/>
        <v>264</v>
      </c>
      <c r="Q210">
        <f t="shared" si="10"/>
        <v>44</v>
      </c>
      <c r="R210">
        <f t="shared" si="11"/>
        <v>17.600000000000001</v>
      </c>
    </row>
    <row r="211" spans="1:18" x14ac:dyDescent="0.25">
      <c r="A211" s="68">
        <v>30</v>
      </c>
      <c r="B211" s="69" t="s">
        <v>215</v>
      </c>
      <c r="C211" s="70">
        <v>39</v>
      </c>
      <c r="D211" s="70">
        <v>41</v>
      </c>
      <c r="E211" s="70">
        <v>40</v>
      </c>
      <c r="F211" s="70">
        <v>42</v>
      </c>
      <c r="G211" s="70">
        <v>45</v>
      </c>
      <c r="H211" s="70">
        <v>39</v>
      </c>
      <c r="I211" s="70">
        <v>42</v>
      </c>
      <c r="J211" s="70">
        <v>42</v>
      </c>
      <c r="K211" s="70">
        <v>44</v>
      </c>
      <c r="L211" s="70">
        <v>38</v>
      </c>
      <c r="M211" s="70">
        <v>35</v>
      </c>
      <c r="N211" s="70">
        <v>44</v>
      </c>
      <c r="O211" s="68" t="s">
        <v>277</v>
      </c>
      <c r="P211">
        <f t="shared" si="9"/>
        <v>491</v>
      </c>
      <c r="Q211">
        <f t="shared" si="10"/>
        <v>81.833333333333343</v>
      </c>
      <c r="R211">
        <f t="shared" si="11"/>
        <v>32.733333333333341</v>
      </c>
    </row>
    <row r="212" spans="1:18" x14ac:dyDescent="0.25">
      <c r="A212" s="68">
        <v>31</v>
      </c>
      <c r="B212" s="69" t="s">
        <v>216</v>
      </c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68" t="s">
        <v>277</v>
      </c>
      <c r="P212">
        <f t="shared" si="9"/>
        <v>0</v>
      </c>
      <c r="Q212">
        <f t="shared" si="10"/>
        <v>0</v>
      </c>
      <c r="R212">
        <f t="shared" si="11"/>
        <v>0</v>
      </c>
    </row>
    <row r="213" spans="1:18" x14ac:dyDescent="0.25">
      <c r="A213" s="68">
        <v>32</v>
      </c>
      <c r="B213" s="69" t="s">
        <v>217</v>
      </c>
      <c r="C213" s="70">
        <v>16</v>
      </c>
      <c r="D213" s="70">
        <v>17</v>
      </c>
      <c r="E213" s="70">
        <v>14</v>
      </c>
      <c r="F213" s="70">
        <v>13</v>
      </c>
      <c r="G213" s="70">
        <v>19</v>
      </c>
      <c r="H213" s="70">
        <v>16</v>
      </c>
      <c r="I213" s="70">
        <v>18</v>
      </c>
      <c r="J213" s="70">
        <v>23</v>
      </c>
      <c r="K213" s="70">
        <v>24</v>
      </c>
      <c r="L213" s="70">
        <v>21</v>
      </c>
      <c r="M213" s="70">
        <v>17</v>
      </c>
      <c r="N213" s="70">
        <v>28</v>
      </c>
      <c r="O213" s="68" t="s">
        <v>277</v>
      </c>
      <c r="P213">
        <f t="shared" si="9"/>
        <v>226</v>
      </c>
      <c r="Q213">
        <f t="shared" si="10"/>
        <v>37.666666666666664</v>
      </c>
      <c r="R213">
        <f t="shared" si="11"/>
        <v>15.066666666666666</v>
      </c>
    </row>
    <row r="214" spans="1:18" x14ac:dyDescent="0.25">
      <c r="A214" s="68">
        <v>33</v>
      </c>
      <c r="B214" s="69" t="s">
        <v>218</v>
      </c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68" t="s">
        <v>277</v>
      </c>
      <c r="P214">
        <f t="shared" si="9"/>
        <v>0</v>
      </c>
      <c r="Q214">
        <f t="shared" si="10"/>
        <v>0</v>
      </c>
      <c r="R214">
        <f t="shared" si="11"/>
        <v>0</v>
      </c>
    </row>
    <row r="215" spans="1:18" x14ac:dyDescent="0.25">
      <c r="A215" s="68">
        <v>34</v>
      </c>
      <c r="B215" s="69" t="s">
        <v>219</v>
      </c>
      <c r="C215" s="70">
        <v>40</v>
      </c>
      <c r="D215" s="70">
        <v>37</v>
      </c>
      <c r="E215" s="70">
        <v>34</v>
      </c>
      <c r="F215" s="70">
        <v>41</v>
      </c>
      <c r="G215" s="70">
        <v>29</v>
      </c>
      <c r="H215" s="70">
        <v>36</v>
      </c>
      <c r="I215" s="70">
        <v>23</v>
      </c>
      <c r="J215" s="70">
        <v>35</v>
      </c>
      <c r="K215" s="70">
        <v>31</v>
      </c>
      <c r="L215" s="70">
        <v>29</v>
      </c>
      <c r="M215" s="70">
        <v>32</v>
      </c>
      <c r="N215" s="70">
        <v>39</v>
      </c>
      <c r="O215" s="68" t="s">
        <v>277</v>
      </c>
      <c r="P215">
        <f t="shared" si="9"/>
        <v>406</v>
      </c>
      <c r="Q215">
        <f t="shared" si="10"/>
        <v>67.666666666666657</v>
      </c>
      <c r="R215">
        <f t="shared" si="11"/>
        <v>27.066666666666663</v>
      </c>
    </row>
    <row r="216" spans="1:18" x14ac:dyDescent="0.25">
      <c r="A216" s="68">
        <v>35</v>
      </c>
      <c r="B216" s="69" t="s">
        <v>220</v>
      </c>
      <c r="C216" s="70">
        <v>35</v>
      </c>
      <c r="D216" s="70">
        <v>35</v>
      </c>
      <c r="E216" s="70">
        <v>39</v>
      </c>
      <c r="F216" s="70">
        <v>40</v>
      </c>
      <c r="G216" s="70">
        <v>41</v>
      </c>
      <c r="H216" s="70">
        <v>38</v>
      </c>
      <c r="I216" s="70">
        <v>28</v>
      </c>
      <c r="J216" s="70">
        <v>34</v>
      </c>
      <c r="K216" s="70">
        <v>42</v>
      </c>
      <c r="L216" s="70">
        <v>32</v>
      </c>
      <c r="M216" s="70">
        <v>36</v>
      </c>
      <c r="N216" s="70">
        <v>33</v>
      </c>
      <c r="O216" s="68" t="s">
        <v>277</v>
      </c>
      <c r="P216">
        <f t="shared" si="9"/>
        <v>433</v>
      </c>
      <c r="Q216">
        <f t="shared" si="10"/>
        <v>72.166666666666671</v>
      </c>
      <c r="R216">
        <f t="shared" si="11"/>
        <v>28.866666666666671</v>
      </c>
    </row>
    <row r="217" spans="1:18" x14ac:dyDescent="0.25">
      <c r="A217" s="68">
        <v>36</v>
      </c>
      <c r="B217" s="69" t="s">
        <v>221</v>
      </c>
      <c r="C217" s="70">
        <v>45</v>
      </c>
      <c r="D217" s="70">
        <v>44</v>
      </c>
      <c r="E217" s="70">
        <v>43</v>
      </c>
      <c r="F217" s="70">
        <v>46</v>
      </c>
      <c r="G217" s="70">
        <v>46</v>
      </c>
      <c r="H217" s="70">
        <v>34</v>
      </c>
      <c r="I217" s="70">
        <v>35</v>
      </c>
      <c r="J217" s="70">
        <v>43</v>
      </c>
      <c r="K217" s="70">
        <v>35</v>
      </c>
      <c r="L217" s="70">
        <v>34</v>
      </c>
      <c r="M217" s="70">
        <v>40</v>
      </c>
      <c r="N217" s="70">
        <v>45</v>
      </c>
      <c r="O217" s="68" t="s">
        <v>277</v>
      </c>
      <c r="P217">
        <f t="shared" si="9"/>
        <v>490</v>
      </c>
      <c r="Q217">
        <f t="shared" si="10"/>
        <v>81.666666666666671</v>
      </c>
      <c r="R217">
        <f t="shared" si="11"/>
        <v>32.666666666666671</v>
      </c>
    </row>
    <row r="218" spans="1:18" x14ac:dyDescent="0.25">
      <c r="A218" s="68">
        <v>37</v>
      </c>
      <c r="B218" s="69" t="s">
        <v>222</v>
      </c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68" t="s">
        <v>277</v>
      </c>
      <c r="P218">
        <f t="shared" si="9"/>
        <v>0</v>
      </c>
      <c r="Q218">
        <f t="shared" si="10"/>
        <v>0</v>
      </c>
      <c r="R218">
        <f t="shared" si="11"/>
        <v>0</v>
      </c>
    </row>
    <row r="219" spans="1:18" x14ac:dyDescent="0.25">
      <c r="A219" s="68">
        <v>38</v>
      </c>
      <c r="B219" s="69" t="s">
        <v>223</v>
      </c>
      <c r="C219" s="70">
        <v>21</v>
      </c>
      <c r="D219" s="70">
        <v>27</v>
      </c>
      <c r="E219" s="70">
        <v>19</v>
      </c>
      <c r="F219" s="70">
        <v>23</v>
      </c>
      <c r="G219" s="70">
        <v>30</v>
      </c>
      <c r="H219" s="70">
        <v>28</v>
      </c>
      <c r="I219" s="70">
        <v>24</v>
      </c>
      <c r="J219" s="70">
        <v>28</v>
      </c>
      <c r="K219" s="70">
        <v>22</v>
      </c>
      <c r="L219" s="70">
        <v>23</v>
      </c>
      <c r="M219" s="70">
        <v>18</v>
      </c>
      <c r="N219" s="70">
        <v>29</v>
      </c>
      <c r="O219" s="68" t="s">
        <v>277</v>
      </c>
      <c r="P219">
        <f t="shared" si="9"/>
        <v>292</v>
      </c>
      <c r="Q219">
        <f t="shared" si="10"/>
        <v>48.666666666666671</v>
      </c>
      <c r="R219">
        <f t="shared" si="11"/>
        <v>19.466666666666669</v>
      </c>
    </row>
    <row r="220" spans="1:18" x14ac:dyDescent="0.25">
      <c r="A220" s="68">
        <v>39</v>
      </c>
      <c r="B220" s="69" t="s">
        <v>224</v>
      </c>
      <c r="C220" s="70">
        <v>31</v>
      </c>
      <c r="D220" s="70">
        <v>24</v>
      </c>
      <c r="E220" s="70">
        <v>27</v>
      </c>
      <c r="F220" s="70">
        <v>20</v>
      </c>
      <c r="G220" s="70">
        <v>25</v>
      </c>
      <c r="H220" s="70">
        <v>22</v>
      </c>
      <c r="I220" s="70">
        <v>18</v>
      </c>
      <c r="J220" s="70">
        <v>24</v>
      </c>
      <c r="K220" s="70">
        <v>29</v>
      </c>
      <c r="L220" s="70">
        <v>22</v>
      </c>
      <c r="M220" s="70">
        <v>20</v>
      </c>
      <c r="N220" s="70">
        <v>28</v>
      </c>
      <c r="O220" s="68" t="s">
        <v>277</v>
      </c>
      <c r="P220">
        <f t="shared" si="9"/>
        <v>290</v>
      </c>
      <c r="Q220">
        <f t="shared" si="10"/>
        <v>48.333333333333336</v>
      </c>
      <c r="R220">
        <f t="shared" si="11"/>
        <v>19.333333333333336</v>
      </c>
    </row>
    <row r="221" spans="1:18" x14ac:dyDescent="0.25">
      <c r="A221" s="68">
        <v>40</v>
      </c>
      <c r="B221" s="69" t="s">
        <v>225</v>
      </c>
      <c r="C221" s="70">
        <v>41</v>
      </c>
      <c r="D221" s="70">
        <v>48</v>
      </c>
      <c r="E221" s="70">
        <v>44</v>
      </c>
      <c r="F221" s="70">
        <v>46</v>
      </c>
      <c r="G221" s="70">
        <v>47</v>
      </c>
      <c r="H221" s="70">
        <v>45</v>
      </c>
      <c r="I221" s="70">
        <v>41</v>
      </c>
      <c r="J221" s="70">
        <v>45</v>
      </c>
      <c r="K221" s="70">
        <v>44</v>
      </c>
      <c r="L221" s="70">
        <v>41</v>
      </c>
      <c r="M221" s="70">
        <v>40</v>
      </c>
      <c r="N221" s="70">
        <v>44</v>
      </c>
      <c r="O221" s="68" t="s">
        <v>277</v>
      </c>
      <c r="P221">
        <f t="shared" si="9"/>
        <v>526</v>
      </c>
      <c r="Q221">
        <f t="shared" si="10"/>
        <v>87.666666666666671</v>
      </c>
      <c r="R221">
        <f t="shared" si="11"/>
        <v>35.06666666666667</v>
      </c>
    </row>
    <row r="222" spans="1:18" x14ac:dyDescent="0.25">
      <c r="A222" s="68">
        <v>41</v>
      </c>
      <c r="B222" s="69" t="s">
        <v>226</v>
      </c>
      <c r="C222" s="70">
        <v>38</v>
      </c>
      <c r="D222" s="70">
        <v>41</v>
      </c>
      <c r="E222" s="70">
        <v>44</v>
      </c>
      <c r="F222" s="70">
        <v>46</v>
      </c>
      <c r="G222" s="70">
        <v>44</v>
      </c>
      <c r="H222" s="70">
        <v>36</v>
      </c>
      <c r="I222" s="70">
        <v>33</v>
      </c>
      <c r="J222" s="70">
        <v>40</v>
      </c>
      <c r="K222" s="70">
        <v>43</v>
      </c>
      <c r="L222" s="70">
        <v>36</v>
      </c>
      <c r="M222" s="70">
        <v>42</v>
      </c>
      <c r="N222" s="70">
        <v>40</v>
      </c>
      <c r="O222" s="68" t="s">
        <v>277</v>
      </c>
      <c r="P222">
        <f t="shared" si="9"/>
        <v>483</v>
      </c>
      <c r="Q222">
        <f t="shared" si="10"/>
        <v>80.5</v>
      </c>
      <c r="R222">
        <f t="shared" si="11"/>
        <v>32.200000000000003</v>
      </c>
    </row>
    <row r="223" spans="1:18" x14ac:dyDescent="0.25">
      <c r="A223" s="68">
        <v>42</v>
      </c>
      <c r="B223" s="69" t="s">
        <v>227</v>
      </c>
      <c r="C223" s="70">
        <v>28</v>
      </c>
      <c r="D223" s="70">
        <v>32</v>
      </c>
      <c r="E223" s="70">
        <v>25</v>
      </c>
      <c r="F223" s="70">
        <v>30</v>
      </c>
      <c r="G223" s="70">
        <v>25</v>
      </c>
      <c r="H223" s="70">
        <v>18</v>
      </c>
      <c r="I223" s="70">
        <v>25</v>
      </c>
      <c r="J223" s="70">
        <v>27</v>
      </c>
      <c r="K223" s="70">
        <v>28</v>
      </c>
      <c r="L223" s="70">
        <v>25</v>
      </c>
      <c r="M223" s="70">
        <v>32</v>
      </c>
      <c r="N223" s="70">
        <v>28</v>
      </c>
      <c r="O223" s="68" t="s">
        <v>277</v>
      </c>
      <c r="P223">
        <f t="shared" si="9"/>
        <v>323</v>
      </c>
      <c r="Q223">
        <f t="shared" si="10"/>
        <v>53.833333333333336</v>
      </c>
      <c r="R223">
        <f t="shared" si="11"/>
        <v>21.533333333333335</v>
      </c>
    </row>
    <row r="224" spans="1:18" x14ac:dyDescent="0.25">
      <c r="A224" s="68">
        <v>43</v>
      </c>
      <c r="B224" s="69" t="s">
        <v>228</v>
      </c>
      <c r="C224" s="70">
        <v>20</v>
      </c>
      <c r="D224" s="70">
        <v>41</v>
      </c>
      <c r="E224" s="70">
        <v>28</v>
      </c>
      <c r="F224" s="70">
        <v>33</v>
      </c>
      <c r="G224" s="70">
        <v>35</v>
      </c>
      <c r="H224" s="70">
        <v>24</v>
      </c>
      <c r="I224" s="70">
        <v>18</v>
      </c>
      <c r="J224" s="70">
        <v>31</v>
      </c>
      <c r="K224" s="70">
        <v>33</v>
      </c>
      <c r="L224" s="70">
        <v>33</v>
      </c>
      <c r="M224" s="70">
        <v>22</v>
      </c>
      <c r="N224" s="70">
        <v>30</v>
      </c>
      <c r="O224" s="68" t="s">
        <v>277</v>
      </c>
      <c r="P224">
        <f t="shared" si="9"/>
        <v>348</v>
      </c>
      <c r="Q224">
        <f t="shared" si="10"/>
        <v>57.999999999999993</v>
      </c>
      <c r="R224">
        <f t="shared" si="11"/>
        <v>23.2</v>
      </c>
    </row>
    <row r="225" spans="1:18" x14ac:dyDescent="0.25">
      <c r="A225" s="68">
        <v>44</v>
      </c>
      <c r="B225" s="69" t="s">
        <v>229</v>
      </c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68" t="s">
        <v>277</v>
      </c>
      <c r="P225">
        <f t="shared" si="9"/>
        <v>0</v>
      </c>
      <c r="Q225">
        <f t="shared" si="10"/>
        <v>0</v>
      </c>
      <c r="R225">
        <f t="shared" si="11"/>
        <v>0</v>
      </c>
    </row>
    <row r="226" spans="1:18" x14ac:dyDescent="0.25">
      <c r="A226" s="68"/>
      <c r="B226" s="69" t="s">
        <v>230</v>
      </c>
      <c r="C226" s="70">
        <v>19</v>
      </c>
      <c r="D226" s="70">
        <v>14</v>
      </c>
      <c r="E226" s="70"/>
      <c r="F226" s="70"/>
      <c r="G226" s="70">
        <v>22</v>
      </c>
      <c r="H226" s="70">
        <v>22</v>
      </c>
      <c r="I226" s="70"/>
      <c r="J226" s="70"/>
      <c r="K226" s="70"/>
      <c r="L226" s="70"/>
      <c r="M226" s="70"/>
      <c r="N226" s="70"/>
      <c r="O226" s="68" t="s">
        <v>278</v>
      </c>
      <c r="P226">
        <f t="shared" si="9"/>
        <v>77</v>
      </c>
      <c r="Q226">
        <f t="shared" si="10"/>
        <v>12.833333333333332</v>
      </c>
      <c r="R226">
        <f t="shared" si="11"/>
        <v>5.1333333333333329</v>
      </c>
    </row>
    <row r="227" spans="1:18" x14ac:dyDescent="0.25">
      <c r="A227" s="68"/>
      <c r="B227" s="69" t="s">
        <v>231</v>
      </c>
      <c r="C227" s="70">
        <v>33</v>
      </c>
      <c r="D227" s="70">
        <v>32</v>
      </c>
      <c r="E227" s="70">
        <v>23</v>
      </c>
      <c r="F227" s="70">
        <v>26</v>
      </c>
      <c r="G227" s="70">
        <v>31</v>
      </c>
      <c r="H227" s="70">
        <v>24</v>
      </c>
      <c r="I227" s="70"/>
      <c r="J227" s="70"/>
      <c r="K227" s="70"/>
      <c r="L227" s="70"/>
      <c r="M227" s="70"/>
      <c r="N227" s="70"/>
      <c r="O227" s="68" t="s">
        <v>278</v>
      </c>
      <c r="P227">
        <f t="shared" si="9"/>
        <v>169</v>
      </c>
      <c r="Q227">
        <f t="shared" si="10"/>
        <v>28.166666666666668</v>
      </c>
      <c r="R227">
        <f t="shared" si="11"/>
        <v>11.266666666666667</v>
      </c>
    </row>
    <row r="228" spans="1:18" x14ac:dyDescent="0.25">
      <c r="A228" s="68"/>
      <c r="B228" s="69" t="s">
        <v>232</v>
      </c>
      <c r="C228" s="70">
        <v>21</v>
      </c>
      <c r="D228" s="70">
        <v>27</v>
      </c>
      <c r="E228" s="70"/>
      <c r="F228" s="70">
        <v>22</v>
      </c>
      <c r="G228" s="70">
        <v>22</v>
      </c>
      <c r="H228" s="70"/>
      <c r="I228" s="70"/>
      <c r="J228" s="70"/>
      <c r="K228" s="70">
        <v>23</v>
      </c>
      <c r="L228" s="70"/>
      <c r="M228" s="70">
        <v>21</v>
      </c>
      <c r="N228" s="70">
        <v>30</v>
      </c>
      <c r="O228" s="68" t="s">
        <v>279</v>
      </c>
      <c r="P228">
        <f t="shared" si="9"/>
        <v>166</v>
      </c>
      <c r="Q228">
        <f t="shared" si="10"/>
        <v>27.666666666666668</v>
      </c>
      <c r="R228">
        <f t="shared" si="11"/>
        <v>11.066666666666668</v>
      </c>
    </row>
    <row r="229" spans="1:18" x14ac:dyDescent="0.25">
      <c r="A229" s="68"/>
      <c r="B229" s="69" t="s">
        <v>233</v>
      </c>
      <c r="C229" s="70">
        <v>22</v>
      </c>
      <c r="D229" s="70">
        <v>25</v>
      </c>
      <c r="E229" s="70">
        <v>16</v>
      </c>
      <c r="F229" s="70">
        <v>23</v>
      </c>
      <c r="G229" s="70">
        <v>25</v>
      </c>
      <c r="H229" s="70">
        <v>20</v>
      </c>
      <c r="I229" s="70">
        <v>19</v>
      </c>
      <c r="J229" s="70">
        <v>22</v>
      </c>
      <c r="K229" s="70">
        <v>20</v>
      </c>
      <c r="L229" s="70">
        <v>18</v>
      </c>
      <c r="M229" s="70">
        <v>30</v>
      </c>
      <c r="N229" s="70">
        <v>30</v>
      </c>
      <c r="O229" s="68" t="s">
        <v>280</v>
      </c>
      <c r="P229">
        <f>SUM(C229:N229)</f>
        <v>270</v>
      </c>
      <c r="Q229">
        <f t="shared" si="10"/>
        <v>45</v>
      </c>
      <c r="R229">
        <f t="shared" si="11"/>
        <v>18</v>
      </c>
    </row>
    <row r="230" spans="1:18" x14ac:dyDescent="0.25">
      <c r="A230" s="68"/>
      <c r="B230" s="69" t="s">
        <v>234</v>
      </c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68"/>
      <c r="P230">
        <f>SUM(C230:N230)</f>
        <v>0</v>
      </c>
      <c r="Q230">
        <f t="shared" si="10"/>
        <v>0</v>
      </c>
      <c r="R230">
        <f t="shared" si="11"/>
        <v>0</v>
      </c>
    </row>
    <row r="231" spans="1:18" x14ac:dyDescent="0.25">
      <c r="A231" s="68"/>
      <c r="B231" s="69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68"/>
    </row>
    <row r="232" spans="1:18" x14ac:dyDescent="0.25">
      <c r="A232" s="68"/>
      <c r="B232" s="69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68"/>
    </row>
    <row r="233" spans="1:18" x14ac:dyDescent="0.25">
      <c r="A233" s="68"/>
      <c r="B233" s="69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68"/>
    </row>
    <row r="234" spans="1:18" x14ac:dyDescent="0.25">
      <c r="A234" s="68"/>
      <c r="B234" s="69"/>
      <c r="C234" s="70"/>
      <c r="D234" s="70"/>
      <c r="E234" s="70"/>
      <c r="F234" s="70"/>
      <c r="G234" s="70"/>
      <c r="H234" s="70"/>
      <c r="I234" s="75"/>
      <c r="J234" s="75"/>
      <c r="K234" s="75"/>
      <c r="L234" s="75"/>
      <c r="M234" s="75"/>
      <c r="N234" s="75"/>
      <c r="O234" s="70"/>
    </row>
    <row r="235" spans="1:18" x14ac:dyDescent="0.25">
      <c r="A235" s="68"/>
      <c r="B235" s="69"/>
      <c r="C235" s="70">
        <f t="shared" ref="C235:N235" si="12">COUNT(C2:C232)</f>
        <v>133</v>
      </c>
      <c r="D235" s="70">
        <f t="shared" si="12"/>
        <v>145</v>
      </c>
      <c r="E235" s="70">
        <f t="shared" si="12"/>
        <v>141</v>
      </c>
      <c r="F235" s="70">
        <f t="shared" si="12"/>
        <v>140</v>
      </c>
      <c r="G235" s="70">
        <f t="shared" si="12"/>
        <v>138</v>
      </c>
      <c r="H235" s="70">
        <f t="shared" si="12"/>
        <v>140</v>
      </c>
      <c r="I235" s="70">
        <f t="shared" si="12"/>
        <v>125</v>
      </c>
      <c r="J235" s="70">
        <f t="shared" si="12"/>
        <v>131</v>
      </c>
      <c r="K235" s="70">
        <f t="shared" si="12"/>
        <v>128</v>
      </c>
      <c r="L235" s="70">
        <f t="shared" si="12"/>
        <v>130</v>
      </c>
      <c r="M235" s="70">
        <f t="shared" si="12"/>
        <v>125</v>
      </c>
      <c r="N235" s="70">
        <f t="shared" si="12"/>
        <v>126</v>
      </c>
      <c r="O235" s="70"/>
    </row>
    <row r="236" spans="1:18" x14ac:dyDescent="0.25">
      <c r="A236" s="68"/>
      <c r="B236" s="69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68"/>
    </row>
    <row r="237" spans="1:18" x14ac:dyDescent="0.25">
      <c r="A237" s="68"/>
      <c r="B237" s="69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68"/>
    </row>
    <row r="238" spans="1:18" x14ac:dyDescent="0.25">
      <c r="A238" s="68"/>
      <c r="B238" s="69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68"/>
    </row>
    <row r="239" spans="1:18" x14ac:dyDescent="0.25">
      <c r="A239" s="68"/>
      <c r="B239" s="69"/>
      <c r="C239" s="75">
        <f t="shared" ref="C239:N239" si="13">AVERAGE(C2:C234)/50</f>
        <v>0.55488721804511276</v>
      </c>
      <c r="D239" s="75">
        <f t="shared" si="13"/>
        <v>0.59324137931034482</v>
      </c>
      <c r="E239" s="75">
        <f t="shared" si="13"/>
        <v>0.49716312056737588</v>
      </c>
      <c r="F239" s="75">
        <f t="shared" si="13"/>
        <v>0.55871428571428572</v>
      </c>
      <c r="G239" s="75">
        <f t="shared" si="13"/>
        <v>0.58971014492753626</v>
      </c>
      <c r="H239" s="75">
        <f t="shared" si="13"/>
        <v>0.49514285714285711</v>
      </c>
      <c r="I239" s="75">
        <f t="shared" si="13"/>
        <v>0.47344000000000003</v>
      </c>
      <c r="J239" s="75">
        <f t="shared" si="13"/>
        <v>0.58778625954198471</v>
      </c>
      <c r="K239" s="75">
        <f t="shared" si="13"/>
        <v>0.57781249999999995</v>
      </c>
      <c r="L239" s="75">
        <f t="shared" si="13"/>
        <v>0.53938461538461535</v>
      </c>
      <c r="M239" s="75">
        <f t="shared" si="13"/>
        <v>0.54</v>
      </c>
      <c r="N239" s="75">
        <f t="shared" si="13"/>
        <v>0.66190476190476188</v>
      </c>
      <c r="O239" s="68"/>
    </row>
    <row r="240" spans="1:18" x14ac:dyDescent="0.25">
      <c r="A240" s="68"/>
      <c r="B240" s="69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68"/>
    </row>
    <row r="241" spans="1:15" x14ac:dyDescent="0.25">
      <c r="A241" s="68"/>
      <c r="B241" s="69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68"/>
    </row>
    <row r="242" spans="1:15" x14ac:dyDescent="0.25">
      <c r="A242" s="68"/>
      <c r="B242" s="69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68"/>
    </row>
    <row r="243" spans="1:15" x14ac:dyDescent="0.25">
      <c r="A243" s="68"/>
      <c r="B243" s="69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68"/>
    </row>
    <row r="244" spans="1:15" x14ac:dyDescent="0.25">
      <c r="A244" s="68"/>
      <c r="B244" s="69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68"/>
    </row>
    <row r="245" spans="1:15" x14ac:dyDescent="0.25">
      <c r="A245" s="68"/>
      <c r="B245" s="69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68"/>
    </row>
    <row r="246" spans="1:15" x14ac:dyDescent="0.25">
      <c r="A246" s="68"/>
      <c r="B246" s="69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68"/>
    </row>
    <row r="247" spans="1:15" x14ac:dyDescent="0.25">
      <c r="A247" s="68"/>
      <c r="B247" s="69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68"/>
    </row>
    <row r="248" spans="1:15" x14ac:dyDescent="0.25">
      <c r="A248" s="68"/>
      <c r="B248" s="69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68"/>
    </row>
    <row r="249" spans="1:15" x14ac:dyDescent="0.25">
      <c r="A249" s="68"/>
      <c r="B249" s="69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68"/>
    </row>
    <row r="250" spans="1:15" x14ac:dyDescent="0.25">
      <c r="A250" s="68"/>
      <c r="B250" s="69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68"/>
    </row>
    <row r="251" spans="1:15" x14ac:dyDescent="0.25">
      <c r="A251" s="68"/>
      <c r="B251" s="69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68"/>
    </row>
    <row r="252" spans="1:15" x14ac:dyDescent="0.25">
      <c r="A252" s="68"/>
      <c r="B252" s="69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68"/>
    </row>
    <row r="253" spans="1:15" x14ac:dyDescent="0.25">
      <c r="A253" s="68"/>
      <c r="B253" s="69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68"/>
    </row>
    <row r="254" spans="1:15" x14ac:dyDescent="0.25">
      <c r="A254" s="68"/>
      <c r="B254" s="69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68"/>
    </row>
    <row r="255" spans="1:15" x14ac:dyDescent="0.25">
      <c r="A255" s="68"/>
      <c r="B255" s="69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68"/>
    </row>
    <row r="256" spans="1:15" x14ac:dyDescent="0.25">
      <c r="A256" s="68"/>
      <c r="B256" s="69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68"/>
    </row>
    <row r="257" spans="1:15" x14ac:dyDescent="0.25">
      <c r="A257" s="68"/>
      <c r="B257" s="69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68"/>
    </row>
    <row r="258" spans="1:15" x14ac:dyDescent="0.25">
      <c r="A258" s="68"/>
      <c r="B258" s="69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68"/>
    </row>
    <row r="259" spans="1:15" x14ac:dyDescent="0.25">
      <c r="A259" s="68"/>
      <c r="B259" s="69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68"/>
    </row>
    <row r="260" spans="1:15" x14ac:dyDescent="0.25">
      <c r="A260" s="68"/>
      <c r="B260" s="69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68"/>
    </row>
    <row r="261" spans="1:15" x14ac:dyDescent="0.25">
      <c r="A261" s="68"/>
      <c r="B261" s="69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68"/>
    </row>
    <row r="262" spans="1:15" x14ac:dyDescent="0.25">
      <c r="A262" s="68"/>
      <c r="B262" s="69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68"/>
    </row>
    <row r="263" spans="1:15" x14ac:dyDescent="0.25">
      <c r="A263" s="68"/>
      <c r="B263" s="69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68"/>
    </row>
    <row r="264" spans="1:15" x14ac:dyDescent="0.25">
      <c r="A264" s="68"/>
      <c r="B264" s="69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68"/>
    </row>
    <row r="265" spans="1:15" x14ac:dyDescent="0.25">
      <c r="A265" s="68"/>
      <c r="B265" s="69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68"/>
    </row>
    <row r="266" spans="1:15" x14ac:dyDescent="0.25">
      <c r="A266" s="68"/>
      <c r="B266" s="69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68"/>
    </row>
    <row r="267" spans="1:15" x14ac:dyDescent="0.25">
      <c r="A267" s="68"/>
      <c r="B267" s="69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68"/>
    </row>
    <row r="268" spans="1:15" x14ac:dyDescent="0.25">
      <c r="A268" s="68"/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68"/>
    </row>
    <row r="269" spans="1:15" x14ac:dyDescent="0.25">
      <c r="A269" s="68"/>
      <c r="B269" s="69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68"/>
    </row>
    <row r="270" spans="1:15" x14ac:dyDescent="0.25">
      <c r="A270" s="68"/>
      <c r="B270" s="69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68"/>
    </row>
    <row r="271" spans="1:15" x14ac:dyDescent="0.25">
      <c r="A271" s="68"/>
      <c r="B271" s="69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68"/>
    </row>
    <row r="272" spans="1:15" x14ac:dyDescent="0.25">
      <c r="A272" s="68"/>
      <c r="B272" s="69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68"/>
    </row>
    <row r="273" spans="1:15" x14ac:dyDescent="0.25">
      <c r="A273" s="68"/>
      <c r="B273" s="69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68"/>
    </row>
    <row r="274" spans="1:15" x14ac:dyDescent="0.25">
      <c r="A274" s="68"/>
      <c r="B274" s="69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68"/>
    </row>
    <row r="275" spans="1:15" x14ac:dyDescent="0.25">
      <c r="A275" s="68"/>
      <c r="B275" s="69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68"/>
    </row>
    <row r="276" spans="1:15" x14ac:dyDescent="0.25">
      <c r="A276" s="68"/>
      <c r="B276" s="69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68"/>
    </row>
    <row r="277" spans="1:15" x14ac:dyDescent="0.25">
      <c r="A277" s="68"/>
      <c r="B277" s="69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68"/>
    </row>
    <row r="278" spans="1:15" x14ac:dyDescent="0.25">
      <c r="A278" s="68"/>
      <c r="B278" s="69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68"/>
    </row>
    <row r="279" spans="1:15" x14ac:dyDescent="0.25">
      <c r="A279" s="68"/>
      <c r="B279" s="69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68"/>
    </row>
    <row r="280" spans="1:15" x14ac:dyDescent="0.25">
      <c r="A280" s="68"/>
      <c r="B280" s="69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68"/>
    </row>
    <row r="281" spans="1:15" x14ac:dyDescent="0.25">
      <c r="A281" s="68"/>
      <c r="B281" s="69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68"/>
    </row>
    <row r="282" spans="1:15" x14ac:dyDescent="0.25">
      <c r="A282" s="68"/>
      <c r="B282" s="69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68"/>
    </row>
    <row r="283" spans="1:15" x14ac:dyDescent="0.25">
      <c r="A283" s="68"/>
      <c r="B283" s="69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68"/>
    </row>
    <row r="284" spans="1:15" x14ac:dyDescent="0.25">
      <c r="A284" s="68"/>
      <c r="B284" s="69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68"/>
    </row>
    <row r="285" spans="1:15" x14ac:dyDescent="0.25">
      <c r="A285" s="68"/>
      <c r="B285" s="69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68"/>
    </row>
    <row r="286" spans="1:15" x14ac:dyDescent="0.25">
      <c r="A286" s="68"/>
      <c r="B286" s="69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68"/>
    </row>
    <row r="287" spans="1:15" x14ac:dyDescent="0.25">
      <c r="A287" s="68"/>
      <c r="B287" s="69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68"/>
    </row>
    <row r="288" spans="1:15" x14ac:dyDescent="0.25">
      <c r="A288" s="68"/>
      <c r="B288" s="69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68"/>
    </row>
    <row r="289" spans="1:15" x14ac:dyDescent="0.25">
      <c r="A289" s="68"/>
      <c r="B289" s="69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68"/>
    </row>
    <row r="290" spans="1:15" x14ac:dyDescent="0.25">
      <c r="A290" s="68"/>
      <c r="B290" s="69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68"/>
    </row>
    <row r="291" spans="1:15" x14ac:dyDescent="0.25">
      <c r="A291" s="68"/>
      <c r="B291" s="69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68"/>
    </row>
    <row r="292" spans="1:15" x14ac:dyDescent="0.25">
      <c r="A292" s="68"/>
      <c r="B292" s="69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68"/>
    </row>
    <row r="293" spans="1:15" x14ac:dyDescent="0.25">
      <c r="A293" s="68"/>
      <c r="B293" s="69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68"/>
    </row>
    <row r="294" spans="1:15" x14ac:dyDescent="0.25">
      <c r="A294" s="68"/>
      <c r="B294" s="69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68"/>
    </row>
    <row r="295" spans="1:15" x14ac:dyDescent="0.25">
      <c r="A295" s="68"/>
      <c r="B295" s="69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68"/>
    </row>
    <row r="296" spans="1:15" x14ac:dyDescent="0.25">
      <c r="A296" s="68"/>
      <c r="B296" s="69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68"/>
    </row>
    <row r="297" spans="1:15" x14ac:dyDescent="0.25">
      <c r="A297" s="68"/>
      <c r="B297" s="69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68"/>
    </row>
    <row r="298" spans="1:15" x14ac:dyDescent="0.25">
      <c r="A298" s="68"/>
      <c r="B298" s="69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68"/>
    </row>
    <row r="299" spans="1:15" x14ac:dyDescent="0.25">
      <c r="A299" s="68"/>
      <c r="B299" s="69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68"/>
    </row>
    <row r="300" spans="1:15" x14ac:dyDescent="0.25">
      <c r="A300" s="68"/>
      <c r="B300" s="69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68"/>
    </row>
    <row r="301" spans="1:15" x14ac:dyDescent="0.25">
      <c r="A301" s="68"/>
      <c r="B301" s="69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68"/>
    </row>
    <row r="302" spans="1:15" x14ac:dyDescent="0.25">
      <c r="A302" s="68"/>
      <c r="B302" s="69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68"/>
    </row>
    <row r="303" spans="1:15" x14ac:dyDescent="0.25">
      <c r="A303" s="68"/>
      <c r="B303" s="69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68"/>
    </row>
    <row r="304" spans="1:15" x14ac:dyDescent="0.25">
      <c r="A304" s="68"/>
      <c r="B304" s="69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68"/>
    </row>
    <row r="305" spans="1:15" x14ac:dyDescent="0.25">
      <c r="A305" s="68"/>
      <c r="B305" s="69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68"/>
    </row>
    <row r="306" spans="1:15" x14ac:dyDescent="0.25">
      <c r="A306" s="68"/>
      <c r="B306" s="69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68"/>
    </row>
    <row r="307" spans="1:15" x14ac:dyDescent="0.25">
      <c r="A307" s="68"/>
      <c r="B307" s="69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68"/>
    </row>
    <row r="308" spans="1:15" x14ac:dyDescent="0.25">
      <c r="A308" s="68"/>
      <c r="B308" s="69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68"/>
    </row>
    <row r="309" spans="1:15" x14ac:dyDescent="0.25">
      <c r="A309" s="68"/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68"/>
    </row>
    <row r="310" spans="1:15" x14ac:dyDescent="0.25">
      <c r="A310" s="68"/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68"/>
    </row>
    <row r="311" spans="1:15" x14ac:dyDescent="0.25">
      <c r="A311" s="68"/>
      <c r="B311" s="69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68"/>
    </row>
    <row r="312" spans="1:15" x14ac:dyDescent="0.25">
      <c r="A312" s="68"/>
      <c r="B312" s="69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68"/>
    </row>
    <row r="313" spans="1:15" x14ac:dyDescent="0.25">
      <c r="A313" s="68"/>
      <c r="B313" s="69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68"/>
    </row>
    <row r="314" spans="1:15" x14ac:dyDescent="0.25">
      <c r="A314" s="68"/>
      <c r="B314" s="69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68"/>
    </row>
    <row r="315" spans="1:15" x14ac:dyDescent="0.25">
      <c r="A315" s="68"/>
      <c r="B315" s="69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68"/>
    </row>
    <row r="316" spans="1:15" x14ac:dyDescent="0.25">
      <c r="A316" s="68"/>
      <c r="B316" s="69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68"/>
    </row>
    <row r="317" spans="1:15" x14ac:dyDescent="0.25">
      <c r="A317" s="68"/>
      <c r="B317" s="69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68"/>
    </row>
    <row r="318" spans="1:15" x14ac:dyDescent="0.25">
      <c r="A318" s="68"/>
      <c r="B318" s="69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68"/>
    </row>
    <row r="319" spans="1:15" x14ac:dyDescent="0.25">
      <c r="A319" s="68"/>
      <c r="B319" s="69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68"/>
    </row>
    <row r="320" spans="1:15" x14ac:dyDescent="0.25">
      <c r="A320" s="68"/>
      <c r="B320" s="69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68"/>
    </row>
    <row r="321" spans="1:15" x14ac:dyDescent="0.25">
      <c r="A321" s="68"/>
      <c r="B321" s="69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68"/>
    </row>
    <row r="322" spans="1:15" x14ac:dyDescent="0.25">
      <c r="A322" s="68"/>
      <c r="B322" s="69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68"/>
    </row>
    <row r="323" spans="1:15" x14ac:dyDescent="0.25">
      <c r="A323" s="68"/>
      <c r="B323" s="69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68"/>
    </row>
    <row r="324" spans="1:15" x14ac:dyDescent="0.25">
      <c r="A324" s="68"/>
      <c r="B324" s="69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68"/>
    </row>
    <row r="325" spans="1:15" x14ac:dyDescent="0.25">
      <c r="A325" s="68"/>
      <c r="B325" s="69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68"/>
    </row>
    <row r="326" spans="1:15" x14ac:dyDescent="0.25">
      <c r="A326" s="68"/>
      <c r="B326" s="69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68"/>
    </row>
    <row r="327" spans="1:15" x14ac:dyDescent="0.25">
      <c r="A327" s="68"/>
      <c r="B327" s="69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68"/>
    </row>
    <row r="328" spans="1:15" x14ac:dyDescent="0.25">
      <c r="A328" s="68"/>
      <c r="B328" s="69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68"/>
    </row>
    <row r="329" spans="1:15" x14ac:dyDescent="0.25">
      <c r="A329" s="68"/>
      <c r="B329" s="69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68"/>
    </row>
    <row r="330" spans="1:15" x14ac:dyDescent="0.25">
      <c r="A330" s="68"/>
      <c r="B330" s="69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68"/>
    </row>
    <row r="331" spans="1:15" x14ac:dyDescent="0.25">
      <c r="A331" s="68"/>
      <c r="B331" s="69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68"/>
    </row>
    <row r="332" spans="1:15" x14ac:dyDescent="0.25">
      <c r="A332" s="68"/>
      <c r="B332" s="69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68"/>
    </row>
    <row r="333" spans="1:15" x14ac:dyDescent="0.25">
      <c r="A333" s="68"/>
      <c r="B333" s="69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68"/>
    </row>
    <row r="334" spans="1:15" x14ac:dyDescent="0.25">
      <c r="A334" s="68"/>
      <c r="B334" s="69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68"/>
    </row>
    <row r="335" spans="1:15" x14ac:dyDescent="0.25">
      <c r="A335" s="68"/>
      <c r="B335" s="69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68"/>
    </row>
    <row r="336" spans="1:15" x14ac:dyDescent="0.25">
      <c r="A336" s="68"/>
      <c r="B336" s="69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68"/>
    </row>
    <row r="337" spans="1:15" x14ac:dyDescent="0.25">
      <c r="A337" s="68"/>
      <c r="B337" s="69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68"/>
    </row>
    <row r="338" spans="1:15" x14ac:dyDescent="0.25">
      <c r="A338" s="68"/>
      <c r="B338" s="69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68"/>
    </row>
    <row r="339" spans="1:15" x14ac:dyDescent="0.25">
      <c r="A339" s="68"/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68"/>
    </row>
    <row r="340" spans="1:15" x14ac:dyDescent="0.25">
      <c r="A340" s="68"/>
      <c r="B340" s="69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68"/>
    </row>
    <row r="341" spans="1:15" x14ac:dyDescent="0.25">
      <c r="A341" s="68"/>
      <c r="B341" s="69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68"/>
    </row>
    <row r="342" spans="1:15" x14ac:dyDescent="0.25">
      <c r="A342" s="68"/>
      <c r="B342" s="69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68"/>
    </row>
    <row r="343" spans="1:15" x14ac:dyDescent="0.25">
      <c r="A343" s="68"/>
      <c r="B343" s="69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68"/>
    </row>
    <row r="344" spans="1:15" x14ac:dyDescent="0.25">
      <c r="A344" s="68"/>
      <c r="B344" s="69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68"/>
    </row>
    <row r="345" spans="1:15" x14ac:dyDescent="0.25">
      <c r="A345" s="68"/>
      <c r="B345" s="69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68"/>
    </row>
    <row r="346" spans="1:15" x14ac:dyDescent="0.25">
      <c r="A346" s="68"/>
      <c r="B346" s="69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68"/>
    </row>
    <row r="347" spans="1:15" x14ac:dyDescent="0.25">
      <c r="A347" s="68"/>
      <c r="B347" s="69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68"/>
    </row>
    <row r="348" spans="1:15" x14ac:dyDescent="0.25">
      <c r="A348" s="68"/>
      <c r="B348" s="69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68"/>
    </row>
    <row r="349" spans="1:15" x14ac:dyDescent="0.25">
      <c r="A349" s="68"/>
      <c r="B349" s="69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68"/>
    </row>
    <row r="350" spans="1:15" x14ac:dyDescent="0.25">
      <c r="A350" s="68"/>
      <c r="B350" s="69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68"/>
    </row>
    <row r="351" spans="1:15" x14ac:dyDescent="0.25">
      <c r="A351" s="68"/>
      <c r="B351" s="69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68"/>
    </row>
    <row r="352" spans="1:15" x14ac:dyDescent="0.25">
      <c r="A352" s="68"/>
      <c r="B352" s="69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68"/>
    </row>
    <row r="353" spans="1:15" x14ac:dyDescent="0.25">
      <c r="A353" s="68"/>
      <c r="B353" s="69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68"/>
    </row>
    <row r="354" spans="1:15" x14ac:dyDescent="0.25">
      <c r="A354" s="68"/>
      <c r="B354" s="69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68"/>
    </row>
    <row r="355" spans="1:15" x14ac:dyDescent="0.25">
      <c r="A355" s="68"/>
      <c r="B355" s="69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68"/>
    </row>
    <row r="356" spans="1:15" x14ac:dyDescent="0.25">
      <c r="A356" s="68"/>
      <c r="B356" s="69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68"/>
    </row>
    <row r="357" spans="1:15" x14ac:dyDescent="0.25">
      <c r="A357" s="68"/>
      <c r="B357" s="69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68"/>
    </row>
    <row r="358" spans="1:15" x14ac:dyDescent="0.25">
      <c r="A358" s="68"/>
      <c r="B358" s="69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68"/>
    </row>
    <row r="359" spans="1:15" x14ac:dyDescent="0.25">
      <c r="A359" s="68"/>
      <c r="B359" s="69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68"/>
    </row>
    <row r="360" spans="1:15" x14ac:dyDescent="0.25">
      <c r="A360" s="68"/>
      <c r="B360" s="69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68"/>
    </row>
    <row r="361" spans="1:15" x14ac:dyDescent="0.25">
      <c r="A361" s="68"/>
      <c r="B361" s="69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68"/>
    </row>
    <row r="362" spans="1:15" x14ac:dyDescent="0.25">
      <c r="A362" s="68"/>
      <c r="B362" s="69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68"/>
    </row>
    <row r="363" spans="1:15" x14ac:dyDescent="0.25">
      <c r="A363" s="68"/>
      <c r="B363" s="69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68"/>
    </row>
    <row r="364" spans="1:15" x14ac:dyDescent="0.25">
      <c r="A364" s="68"/>
      <c r="B364" s="69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68"/>
    </row>
    <row r="365" spans="1:15" x14ac:dyDescent="0.25">
      <c r="A365" s="68"/>
      <c r="B365" s="69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68"/>
    </row>
    <row r="366" spans="1:15" x14ac:dyDescent="0.25">
      <c r="A366" s="68"/>
      <c r="B366" s="69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68"/>
    </row>
    <row r="367" spans="1:15" x14ac:dyDescent="0.25">
      <c r="A367" s="68"/>
      <c r="B367" s="69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68"/>
    </row>
    <row r="368" spans="1:15" x14ac:dyDescent="0.25">
      <c r="A368" s="68"/>
      <c r="B368" s="69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68"/>
    </row>
    <row r="369" spans="1:15" x14ac:dyDescent="0.25">
      <c r="A369" s="68"/>
      <c r="B369" s="69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68"/>
    </row>
    <row r="370" spans="1:15" x14ac:dyDescent="0.25">
      <c r="A370" s="68"/>
      <c r="B370" s="69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68"/>
    </row>
    <row r="371" spans="1:15" x14ac:dyDescent="0.25">
      <c r="A371" s="68"/>
      <c r="B371" s="69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68"/>
    </row>
    <row r="372" spans="1:15" x14ac:dyDescent="0.25">
      <c r="A372" s="68"/>
      <c r="B372" s="69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68"/>
    </row>
    <row r="373" spans="1:15" x14ac:dyDescent="0.25">
      <c r="A373" s="68"/>
      <c r="B373" s="69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68"/>
    </row>
    <row r="374" spans="1:15" x14ac:dyDescent="0.25">
      <c r="A374" s="68"/>
      <c r="B374" s="69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68"/>
    </row>
    <row r="375" spans="1:15" x14ac:dyDescent="0.25">
      <c r="A375" s="68"/>
      <c r="B375" s="69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68"/>
    </row>
    <row r="376" spans="1:15" x14ac:dyDescent="0.25">
      <c r="A376" s="68"/>
      <c r="B376" s="69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68"/>
    </row>
    <row r="377" spans="1:15" x14ac:dyDescent="0.25">
      <c r="A377" s="68"/>
      <c r="B377" s="69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68"/>
    </row>
    <row r="378" spans="1:15" x14ac:dyDescent="0.25">
      <c r="A378" s="68"/>
      <c r="B378" s="69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68"/>
    </row>
    <row r="379" spans="1:15" x14ac:dyDescent="0.25">
      <c r="A379" s="68"/>
      <c r="B379" s="69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68"/>
    </row>
    <row r="380" spans="1:15" x14ac:dyDescent="0.25">
      <c r="A380" s="68"/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68"/>
    </row>
    <row r="381" spans="1:15" x14ac:dyDescent="0.25">
      <c r="A381" s="68"/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68"/>
    </row>
    <row r="382" spans="1:15" x14ac:dyDescent="0.25">
      <c r="A382" s="68"/>
      <c r="B382" s="69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68"/>
    </row>
    <row r="383" spans="1:15" x14ac:dyDescent="0.25">
      <c r="A383" s="68"/>
      <c r="B383" s="69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68"/>
    </row>
    <row r="384" spans="1:15" x14ac:dyDescent="0.25">
      <c r="A384" s="68"/>
      <c r="B384" s="69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68"/>
    </row>
    <row r="385" spans="1:15" x14ac:dyDescent="0.25">
      <c r="A385" s="68"/>
      <c r="B385" s="69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68"/>
    </row>
    <row r="386" spans="1:15" x14ac:dyDescent="0.25">
      <c r="A386" s="68"/>
      <c r="B386" s="69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68"/>
    </row>
    <row r="387" spans="1:15" x14ac:dyDescent="0.25">
      <c r="A387" s="68"/>
      <c r="B387" s="69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68"/>
    </row>
    <row r="388" spans="1:15" x14ac:dyDescent="0.25">
      <c r="A388" s="68"/>
      <c r="B388" s="69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68"/>
    </row>
    <row r="389" spans="1:15" x14ac:dyDescent="0.25">
      <c r="A389" s="68"/>
      <c r="B389" s="69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68"/>
    </row>
    <row r="390" spans="1:15" x14ac:dyDescent="0.25">
      <c r="A390" s="68"/>
      <c r="B390" s="69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68"/>
    </row>
    <row r="391" spans="1:15" x14ac:dyDescent="0.25">
      <c r="A391" s="68"/>
      <c r="B391" s="69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68"/>
    </row>
    <row r="392" spans="1:15" x14ac:dyDescent="0.25">
      <c r="A392" s="68"/>
      <c r="B392" s="69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68"/>
    </row>
    <row r="393" spans="1:15" x14ac:dyDescent="0.25">
      <c r="A393" s="68"/>
      <c r="B393" s="69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68"/>
    </row>
    <row r="394" spans="1:15" x14ac:dyDescent="0.25">
      <c r="A394" s="68"/>
      <c r="B394" s="69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68"/>
    </row>
    <row r="395" spans="1:15" x14ac:dyDescent="0.25">
      <c r="A395" s="68"/>
      <c r="B395" s="69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68"/>
    </row>
    <row r="396" spans="1:15" x14ac:dyDescent="0.25">
      <c r="A396" s="68"/>
      <c r="B396" s="69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68"/>
    </row>
    <row r="397" spans="1:15" x14ac:dyDescent="0.25">
      <c r="A397" s="68"/>
      <c r="B397" s="69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68"/>
    </row>
    <row r="398" spans="1:15" x14ac:dyDescent="0.25">
      <c r="A398" s="68"/>
      <c r="B398" s="69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68"/>
    </row>
    <row r="399" spans="1:15" x14ac:dyDescent="0.25">
      <c r="A399" s="68"/>
      <c r="B399" s="69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68"/>
    </row>
    <row r="400" spans="1:15" x14ac:dyDescent="0.25">
      <c r="A400" s="68"/>
      <c r="B400" s="69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68"/>
    </row>
    <row r="401" spans="1:15" x14ac:dyDescent="0.25">
      <c r="A401" s="68"/>
      <c r="B401" s="69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68"/>
    </row>
    <row r="402" spans="1:15" x14ac:dyDescent="0.25">
      <c r="A402" s="68"/>
      <c r="B402" s="69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68"/>
    </row>
    <row r="403" spans="1:15" x14ac:dyDescent="0.25">
      <c r="A403" s="68"/>
      <c r="B403" s="69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68"/>
    </row>
    <row r="404" spans="1:15" x14ac:dyDescent="0.25">
      <c r="A404" s="68"/>
      <c r="B404" s="69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68"/>
    </row>
    <row r="405" spans="1:15" x14ac:dyDescent="0.25">
      <c r="A405" s="68"/>
      <c r="B405" s="69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68"/>
    </row>
    <row r="406" spans="1:15" x14ac:dyDescent="0.25">
      <c r="A406" s="68"/>
      <c r="B406" s="69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68"/>
    </row>
    <row r="407" spans="1:15" x14ac:dyDescent="0.25">
      <c r="A407" s="68"/>
      <c r="B407" s="69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68"/>
    </row>
    <row r="408" spans="1:15" x14ac:dyDescent="0.25">
      <c r="A408" s="68"/>
      <c r="B408" s="69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68"/>
    </row>
    <row r="409" spans="1:15" x14ac:dyDescent="0.25">
      <c r="A409" s="68"/>
      <c r="B409" s="69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68"/>
    </row>
    <row r="410" spans="1:15" x14ac:dyDescent="0.25">
      <c r="A410" s="68"/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68"/>
    </row>
    <row r="411" spans="1:15" x14ac:dyDescent="0.25">
      <c r="A411" s="68"/>
      <c r="B411" s="69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68"/>
    </row>
    <row r="412" spans="1:15" x14ac:dyDescent="0.25">
      <c r="A412" s="68"/>
      <c r="B412" s="69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68"/>
    </row>
    <row r="413" spans="1:15" x14ac:dyDescent="0.25">
      <c r="A413" s="68"/>
      <c r="B413" s="69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68"/>
    </row>
    <row r="414" spans="1:15" x14ac:dyDescent="0.25">
      <c r="A414" s="68"/>
      <c r="B414" s="69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68"/>
    </row>
    <row r="415" spans="1:15" x14ac:dyDescent="0.25">
      <c r="A415" s="68"/>
      <c r="B415" s="69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68"/>
    </row>
    <row r="416" spans="1:15" x14ac:dyDescent="0.25">
      <c r="A416" s="68"/>
      <c r="B416" s="69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68"/>
    </row>
    <row r="417" spans="1:15" x14ac:dyDescent="0.25">
      <c r="A417" s="68"/>
      <c r="B417" s="69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68"/>
    </row>
    <row r="418" spans="1:15" x14ac:dyDescent="0.25">
      <c r="A418" s="68"/>
      <c r="B418" s="69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68"/>
    </row>
    <row r="419" spans="1:15" x14ac:dyDescent="0.25">
      <c r="A419" s="68"/>
      <c r="B419" s="69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68"/>
    </row>
    <row r="420" spans="1:15" x14ac:dyDescent="0.25">
      <c r="A420" s="68"/>
      <c r="B420" s="69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68"/>
    </row>
    <row r="421" spans="1:15" x14ac:dyDescent="0.25">
      <c r="A421" s="68"/>
      <c r="B421" s="69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68"/>
    </row>
    <row r="422" spans="1:15" x14ac:dyDescent="0.25">
      <c r="A422" s="68"/>
      <c r="B422" s="69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68"/>
    </row>
    <row r="423" spans="1:15" x14ac:dyDescent="0.25">
      <c r="A423" s="68"/>
      <c r="B423" s="69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68"/>
    </row>
    <row r="424" spans="1:15" x14ac:dyDescent="0.25">
      <c r="A424" s="68"/>
      <c r="B424" s="69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68"/>
    </row>
    <row r="425" spans="1:15" x14ac:dyDescent="0.25">
      <c r="A425" s="68"/>
      <c r="B425" s="69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68"/>
    </row>
    <row r="426" spans="1:15" x14ac:dyDescent="0.25">
      <c r="A426" s="68"/>
      <c r="B426" s="69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68"/>
    </row>
    <row r="427" spans="1:15" x14ac:dyDescent="0.25">
      <c r="A427" s="68"/>
      <c r="B427" s="69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68"/>
    </row>
    <row r="428" spans="1:15" x14ac:dyDescent="0.25">
      <c r="A428" s="68"/>
      <c r="B428" s="69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68"/>
    </row>
    <row r="429" spans="1:15" x14ac:dyDescent="0.25">
      <c r="A429" s="68"/>
      <c r="B429" s="69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68"/>
    </row>
    <row r="430" spans="1:15" x14ac:dyDescent="0.25">
      <c r="A430" s="68"/>
      <c r="B430" s="69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68"/>
    </row>
    <row r="431" spans="1:15" x14ac:dyDescent="0.25">
      <c r="A431" s="68"/>
      <c r="B431" s="69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68"/>
    </row>
    <row r="432" spans="1:15" x14ac:dyDescent="0.25">
      <c r="A432" s="68"/>
      <c r="B432" s="69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68"/>
    </row>
    <row r="433" spans="1:15" x14ac:dyDescent="0.25">
      <c r="A433" s="68"/>
      <c r="B433" s="69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68"/>
    </row>
    <row r="434" spans="1:15" x14ac:dyDescent="0.25">
      <c r="A434" s="68"/>
      <c r="B434" s="69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68"/>
    </row>
    <row r="435" spans="1:15" x14ac:dyDescent="0.25">
      <c r="A435" s="68"/>
      <c r="B435" s="69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68"/>
    </row>
    <row r="436" spans="1:15" x14ac:dyDescent="0.25">
      <c r="A436" s="68"/>
      <c r="B436" s="69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68"/>
    </row>
    <row r="437" spans="1:15" x14ac:dyDescent="0.25">
      <c r="A437" s="68"/>
      <c r="B437" s="69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68"/>
    </row>
    <row r="438" spans="1:15" x14ac:dyDescent="0.25">
      <c r="A438" s="68"/>
      <c r="B438" s="69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68"/>
    </row>
    <row r="439" spans="1:15" x14ac:dyDescent="0.25">
      <c r="A439" s="68"/>
      <c r="B439" s="69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68"/>
    </row>
    <row r="440" spans="1:15" x14ac:dyDescent="0.25">
      <c r="A440" s="68"/>
      <c r="B440" s="69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68"/>
    </row>
    <row r="441" spans="1:15" x14ac:dyDescent="0.25">
      <c r="A441" s="68"/>
      <c r="B441" s="69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68"/>
    </row>
    <row r="442" spans="1:15" x14ac:dyDescent="0.25">
      <c r="A442" s="68"/>
      <c r="B442" s="69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68"/>
    </row>
    <row r="443" spans="1:15" x14ac:dyDescent="0.25">
      <c r="A443" s="68"/>
      <c r="B443" s="69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68"/>
    </row>
    <row r="444" spans="1:15" x14ac:dyDescent="0.25">
      <c r="A444" s="68"/>
      <c r="B444" s="69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68"/>
    </row>
    <row r="445" spans="1:15" x14ac:dyDescent="0.25">
      <c r="A445" s="68"/>
      <c r="B445" s="69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68"/>
    </row>
    <row r="446" spans="1:15" x14ac:dyDescent="0.25">
      <c r="A446" s="68"/>
      <c r="B446" s="69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68"/>
    </row>
    <row r="447" spans="1:15" x14ac:dyDescent="0.25">
      <c r="A447" s="68"/>
      <c r="B447" s="69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68"/>
    </row>
    <row r="448" spans="1:15" x14ac:dyDescent="0.25">
      <c r="A448" s="68"/>
      <c r="B448" s="69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68"/>
    </row>
    <row r="449" spans="1:15" x14ac:dyDescent="0.25">
      <c r="A449" s="68"/>
      <c r="B449" s="69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68"/>
    </row>
    <row r="450" spans="1:15" x14ac:dyDescent="0.25">
      <c r="A450" s="68"/>
      <c r="B450" s="69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68"/>
    </row>
    <row r="451" spans="1:15" x14ac:dyDescent="0.25">
      <c r="A451" s="68"/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68"/>
    </row>
    <row r="452" spans="1:15" x14ac:dyDescent="0.25">
      <c r="A452" s="68"/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68"/>
    </row>
    <row r="453" spans="1:15" x14ac:dyDescent="0.25">
      <c r="A453" s="68"/>
      <c r="B453" s="69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68"/>
    </row>
    <row r="454" spans="1:15" x14ac:dyDescent="0.25">
      <c r="A454" s="68"/>
      <c r="B454" s="69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68"/>
    </row>
    <row r="455" spans="1:15" x14ac:dyDescent="0.25">
      <c r="A455" s="68"/>
      <c r="B455" s="69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68"/>
    </row>
    <row r="456" spans="1:15" x14ac:dyDescent="0.25">
      <c r="A456" s="68"/>
      <c r="B456" s="69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68"/>
    </row>
    <row r="457" spans="1:15" x14ac:dyDescent="0.25">
      <c r="A457" s="68"/>
      <c r="B457" s="69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68"/>
    </row>
    <row r="458" spans="1:15" x14ac:dyDescent="0.25">
      <c r="A458" s="68"/>
      <c r="B458" s="69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68"/>
    </row>
    <row r="459" spans="1:15" x14ac:dyDescent="0.25">
      <c r="A459" s="68"/>
      <c r="B459" s="69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68"/>
    </row>
    <row r="460" spans="1:15" x14ac:dyDescent="0.25">
      <c r="A460" s="68"/>
      <c r="B460" s="69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68"/>
    </row>
    <row r="461" spans="1:15" x14ac:dyDescent="0.25">
      <c r="A461" s="68"/>
      <c r="B461" s="69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68"/>
    </row>
    <row r="462" spans="1:15" x14ac:dyDescent="0.25">
      <c r="A462" s="68"/>
      <c r="B462" s="69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68"/>
    </row>
    <row r="463" spans="1:15" x14ac:dyDescent="0.25">
      <c r="A463" s="68"/>
      <c r="B463" s="69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68"/>
    </row>
    <row r="464" spans="1:15" x14ac:dyDescent="0.25">
      <c r="A464" s="68"/>
      <c r="B464" s="69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68"/>
    </row>
    <row r="465" spans="1:15" x14ac:dyDescent="0.25">
      <c r="A465" s="68"/>
      <c r="B465" s="69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68"/>
    </row>
    <row r="466" spans="1:15" x14ac:dyDescent="0.25">
      <c r="A466" s="68"/>
      <c r="B466" s="69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68"/>
    </row>
    <row r="467" spans="1:15" x14ac:dyDescent="0.25">
      <c r="A467" s="68"/>
      <c r="B467" s="69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68"/>
    </row>
    <row r="468" spans="1:15" x14ac:dyDescent="0.25">
      <c r="A468" s="68"/>
      <c r="B468" s="69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68"/>
    </row>
    <row r="469" spans="1:15" x14ac:dyDescent="0.25">
      <c r="A469" s="68"/>
      <c r="B469" s="69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68"/>
    </row>
    <row r="470" spans="1:15" x14ac:dyDescent="0.25">
      <c r="A470" s="68"/>
      <c r="B470" s="69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68"/>
    </row>
    <row r="471" spans="1:15" x14ac:dyDescent="0.25">
      <c r="A471" s="68"/>
      <c r="B471" s="69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68"/>
    </row>
    <row r="472" spans="1:15" x14ac:dyDescent="0.25">
      <c r="A472" s="68"/>
      <c r="B472" s="69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68"/>
    </row>
    <row r="473" spans="1:15" x14ac:dyDescent="0.25">
      <c r="A473" s="68"/>
      <c r="B473" s="69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68"/>
    </row>
    <row r="474" spans="1:15" x14ac:dyDescent="0.25">
      <c r="A474" s="68"/>
      <c r="B474" s="69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68"/>
    </row>
    <row r="475" spans="1:15" x14ac:dyDescent="0.25">
      <c r="A475" s="68"/>
      <c r="B475" s="69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68"/>
    </row>
    <row r="476" spans="1:15" x14ac:dyDescent="0.25">
      <c r="A476" s="68"/>
      <c r="B476" s="69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68"/>
    </row>
    <row r="477" spans="1:15" x14ac:dyDescent="0.25">
      <c r="A477" s="68"/>
      <c r="B477" s="69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68"/>
    </row>
    <row r="478" spans="1:15" x14ac:dyDescent="0.25">
      <c r="A478" s="68"/>
      <c r="B478" s="69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68"/>
    </row>
    <row r="479" spans="1:15" x14ac:dyDescent="0.25">
      <c r="A479" s="68"/>
      <c r="B479" s="69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68"/>
    </row>
    <row r="480" spans="1:15" x14ac:dyDescent="0.25">
      <c r="A480" s="68"/>
      <c r="B480" s="69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68"/>
    </row>
    <row r="481" spans="1:15" x14ac:dyDescent="0.25">
      <c r="A481" s="68"/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68"/>
    </row>
    <row r="482" spans="1:15" x14ac:dyDescent="0.25">
      <c r="A482" s="68"/>
      <c r="B482" s="69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68"/>
    </row>
    <row r="483" spans="1:15" x14ac:dyDescent="0.25">
      <c r="A483" s="68"/>
      <c r="B483" s="69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68"/>
    </row>
    <row r="484" spans="1:15" x14ac:dyDescent="0.25">
      <c r="A484" s="68"/>
      <c r="B484" s="69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68"/>
    </row>
    <row r="485" spans="1:15" x14ac:dyDescent="0.25">
      <c r="A485" s="68"/>
      <c r="B485" s="69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68"/>
    </row>
    <row r="486" spans="1:15" x14ac:dyDescent="0.25">
      <c r="A486" s="68"/>
      <c r="B486" s="69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68"/>
    </row>
    <row r="487" spans="1:15" x14ac:dyDescent="0.25">
      <c r="A487" s="68"/>
      <c r="B487" s="69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68"/>
    </row>
    <row r="488" spans="1:15" x14ac:dyDescent="0.25">
      <c r="A488" s="68"/>
      <c r="B488" s="69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68"/>
    </row>
    <row r="489" spans="1:15" x14ac:dyDescent="0.25">
      <c r="A489" s="68"/>
      <c r="B489" s="69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68"/>
    </row>
    <row r="490" spans="1:15" x14ac:dyDescent="0.25">
      <c r="A490" s="68"/>
      <c r="B490" s="69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68"/>
    </row>
    <row r="491" spans="1:15" x14ac:dyDescent="0.25">
      <c r="A491" s="68"/>
      <c r="B491" s="69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68"/>
    </row>
    <row r="492" spans="1:15" x14ac:dyDescent="0.25">
      <c r="A492" s="68"/>
      <c r="B492" s="69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68"/>
    </row>
    <row r="493" spans="1:15" x14ac:dyDescent="0.25">
      <c r="A493" s="68"/>
      <c r="B493" s="69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68"/>
    </row>
    <row r="494" spans="1:15" x14ac:dyDescent="0.25">
      <c r="A494" s="68"/>
      <c r="B494" s="69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68"/>
    </row>
    <row r="495" spans="1:15" x14ac:dyDescent="0.25">
      <c r="A495" s="68"/>
      <c r="B495" s="69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68"/>
    </row>
    <row r="496" spans="1:15" x14ac:dyDescent="0.25">
      <c r="A496" s="68"/>
      <c r="B496" s="69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68"/>
    </row>
    <row r="497" spans="1:15" x14ac:dyDescent="0.25">
      <c r="A497" s="68"/>
      <c r="B497" s="69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68"/>
    </row>
    <row r="498" spans="1:15" x14ac:dyDescent="0.25">
      <c r="A498" s="68"/>
      <c r="B498" s="69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68"/>
    </row>
    <row r="499" spans="1:15" x14ac:dyDescent="0.25">
      <c r="A499" s="68"/>
      <c r="B499" s="69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68"/>
    </row>
    <row r="500" spans="1:15" x14ac:dyDescent="0.25">
      <c r="A500" s="68"/>
      <c r="B500" s="69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68"/>
    </row>
    <row r="501" spans="1:15" x14ac:dyDescent="0.25">
      <c r="A501" s="68"/>
      <c r="B501" s="69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68"/>
    </row>
    <row r="502" spans="1:15" x14ac:dyDescent="0.25">
      <c r="A502" s="68"/>
      <c r="B502" s="69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68"/>
    </row>
    <row r="503" spans="1:15" x14ac:dyDescent="0.25">
      <c r="A503" s="68"/>
      <c r="B503" s="69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68"/>
    </row>
    <row r="504" spans="1:15" x14ac:dyDescent="0.25">
      <c r="A504" s="68"/>
      <c r="B504" s="69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68"/>
    </row>
    <row r="505" spans="1:15" x14ac:dyDescent="0.25">
      <c r="A505" s="68"/>
      <c r="B505" s="69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68"/>
    </row>
    <row r="506" spans="1:15" x14ac:dyDescent="0.25">
      <c r="A506" s="68"/>
      <c r="B506" s="69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68"/>
    </row>
    <row r="507" spans="1:15" x14ac:dyDescent="0.25">
      <c r="A507" s="68"/>
      <c r="B507" s="69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68"/>
    </row>
    <row r="508" spans="1:15" x14ac:dyDescent="0.25">
      <c r="A508" s="68"/>
      <c r="B508" s="69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68"/>
    </row>
    <row r="509" spans="1:15" x14ac:dyDescent="0.25">
      <c r="A509" s="68"/>
      <c r="B509" s="69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68"/>
    </row>
    <row r="510" spans="1:15" x14ac:dyDescent="0.25">
      <c r="A510" s="68"/>
      <c r="B510" s="69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68"/>
    </row>
    <row r="511" spans="1:15" x14ac:dyDescent="0.25">
      <c r="A511" s="68"/>
      <c r="B511" s="69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68"/>
    </row>
    <row r="512" spans="1:15" x14ac:dyDescent="0.25">
      <c r="A512" s="68"/>
      <c r="B512" s="69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68"/>
    </row>
    <row r="513" spans="1:15" x14ac:dyDescent="0.25">
      <c r="A513" s="68"/>
      <c r="B513" s="69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68"/>
    </row>
    <row r="514" spans="1:15" x14ac:dyDescent="0.25">
      <c r="A514" s="68"/>
      <c r="B514" s="69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68"/>
    </row>
    <row r="515" spans="1:15" x14ac:dyDescent="0.25">
      <c r="A515" s="68"/>
      <c r="B515" s="69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68"/>
    </row>
    <row r="516" spans="1:15" x14ac:dyDescent="0.25">
      <c r="A516" s="68"/>
      <c r="B516" s="69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68"/>
    </row>
    <row r="517" spans="1:15" x14ac:dyDescent="0.25">
      <c r="A517" s="68"/>
      <c r="B517" s="69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68"/>
    </row>
    <row r="518" spans="1:15" x14ac:dyDescent="0.25">
      <c r="A518" s="68"/>
      <c r="B518" s="69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68"/>
    </row>
    <row r="519" spans="1:15" x14ac:dyDescent="0.25">
      <c r="A519" s="68"/>
      <c r="B519" s="69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68"/>
    </row>
    <row r="520" spans="1:15" x14ac:dyDescent="0.25">
      <c r="A520" s="68"/>
      <c r="B520" s="69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68"/>
    </row>
    <row r="521" spans="1:15" x14ac:dyDescent="0.25">
      <c r="A521" s="68"/>
      <c r="B521" s="69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68"/>
    </row>
    <row r="522" spans="1:15" x14ac:dyDescent="0.25">
      <c r="A522" s="68"/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68"/>
    </row>
    <row r="523" spans="1:15" x14ac:dyDescent="0.25">
      <c r="A523" s="68"/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68"/>
    </row>
    <row r="524" spans="1:15" x14ac:dyDescent="0.25">
      <c r="A524" s="68"/>
      <c r="B524" s="69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68"/>
    </row>
    <row r="525" spans="1:15" x14ac:dyDescent="0.25">
      <c r="A525" s="68"/>
      <c r="B525" s="69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68"/>
    </row>
    <row r="526" spans="1:15" x14ac:dyDescent="0.25">
      <c r="A526" s="68"/>
      <c r="B526" s="69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68"/>
    </row>
    <row r="527" spans="1:15" x14ac:dyDescent="0.25">
      <c r="A527" s="68"/>
      <c r="B527" s="69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68"/>
    </row>
    <row r="528" spans="1:15" x14ac:dyDescent="0.25">
      <c r="A528" s="68"/>
      <c r="B528" s="69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68"/>
    </row>
    <row r="529" spans="1:15" x14ac:dyDescent="0.25">
      <c r="A529" s="68"/>
      <c r="B529" s="69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68"/>
    </row>
    <row r="530" spans="1:15" x14ac:dyDescent="0.25">
      <c r="A530" s="68"/>
      <c r="B530" s="69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68"/>
    </row>
    <row r="531" spans="1:15" x14ac:dyDescent="0.25">
      <c r="A531" s="68"/>
      <c r="B531" s="69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68"/>
    </row>
    <row r="532" spans="1:15" x14ac:dyDescent="0.25">
      <c r="A532" s="68"/>
      <c r="B532" s="69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68"/>
    </row>
    <row r="533" spans="1:15" x14ac:dyDescent="0.25">
      <c r="A533" s="68"/>
      <c r="B533" s="69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68"/>
    </row>
    <row r="534" spans="1:15" x14ac:dyDescent="0.25">
      <c r="A534" s="68"/>
      <c r="B534" s="69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68"/>
    </row>
    <row r="535" spans="1:15" x14ac:dyDescent="0.25">
      <c r="A535" s="68"/>
      <c r="B535" s="69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68"/>
    </row>
    <row r="536" spans="1:15" x14ac:dyDescent="0.25">
      <c r="A536" s="68"/>
      <c r="B536" s="69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68"/>
    </row>
    <row r="537" spans="1:15" x14ac:dyDescent="0.25">
      <c r="A537" s="68"/>
      <c r="B537" s="69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68"/>
    </row>
    <row r="538" spans="1:15" x14ac:dyDescent="0.25">
      <c r="A538" s="68"/>
      <c r="B538" s="69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68"/>
    </row>
    <row r="539" spans="1:15" x14ac:dyDescent="0.25">
      <c r="A539" s="68"/>
      <c r="B539" s="69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68"/>
    </row>
    <row r="540" spans="1:15" x14ac:dyDescent="0.25">
      <c r="A540" s="68"/>
      <c r="B540" s="69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68"/>
    </row>
    <row r="541" spans="1:15" x14ac:dyDescent="0.25">
      <c r="A541" s="68"/>
      <c r="B541" s="69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68"/>
    </row>
    <row r="542" spans="1:15" x14ac:dyDescent="0.25">
      <c r="A542" s="68"/>
      <c r="B542" s="69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68"/>
    </row>
    <row r="543" spans="1:15" x14ac:dyDescent="0.25">
      <c r="A543" s="68"/>
      <c r="B543" s="69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68"/>
    </row>
    <row r="544" spans="1:15" x14ac:dyDescent="0.25">
      <c r="A544" s="68"/>
      <c r="B544" s="69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68"/>
    </row>
    <row r="545" spans="1:15" x14ac:dyDescent="0.25">
      <c r="A545" s="68"/>
      <c r="B545" s="69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68"/>
    </row>
    <row r="546" spans="1:15" x14ac:dyDescent="0.25">
      <c r="A546" s="68"/>
      <c r="B546" s="69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68"/>
    </row>
    <row r="547" spans="1:15" x14ac:dyDescent="0.25">
      <c r="A547" s="68"/>
      <c r="B547" s="69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68"/>
    </row>
    <row r="548" spans="1:15" x14ac:dyDescent="0.25">
      <c r="A548" s="68"/>
      <c r="B548" s="69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68"/>
    </row>
    <row r="549" spans="1:15" x14ac:dyDescent="0.25">
      <c r="A549" s="68"/>
      <c r="B549" s="69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68"/>
    </row>
    <row r="550" spans="1:15" x14ac:dyDescent="0.25">
      <c r="A550" s="68"/>
      <c r="B550" s="69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68"/>
    </row>
    <row r="551" spans="1:15" x14ac:dyDescent="0.25">
      <c r="A551" s="68"/>
      <c r="B551" s="69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68"/>
    </row>
    <row r="552" spans="1:15" x14ac:dyDescent="0.25">
      <c r="A552" s="68"/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68"/>
    </row>
    <row r="553" spans="1:15" x14ac:dyDescent="0.25">
      <c r="A553" s="68"/>
      <c r="B553" s="69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68"/>
    </row>
    <row r="554" spans="1:15" x14ac:dyDescent="0.25">
      <c r="A554" s="68"/>
      <c r="B554" s="69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68"/>
    </row>
    <row r="555" spans="1:15" x14ac:dyDescent="0.25">
      <c r="A555" s="68"/>
      <c r="B555" s="69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68"/>
    </row>
    <row r="556" spans="1:15" x14ac:dyDescent="0.25">
      <c r="A556" s="68"/>
      <c r="B556" s="69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68"/>
    </row>
    <row r="557" spans="1:15" x14ac:dyDescent="0.25">
      <c r="A557" s="68"/>
      <c r="B557" s="69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68"/>
    </row>
    <row r="558" spans="1:15" x14ac:dyDescent="0.25">
      <c r="A558" s="68"/>
      <c r="B558" s="69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68"/>
    </row>
    <row r="559" spans="1:15" x14ac:dyDescent="0.25">
      <c r="A559" s="68"/>
      <c r="B559" s="69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68"/>
    </row>
    <row r="560" spans="1:15" x14ac:dyDescent="0.25">
      <c r="A560" s="68"/>
      <c r="B560" s="69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68"/>
    </row>
    <row r="561" spans="1:15" x14ac:dyDescent="0.25">
      <c r="A561" s="68"/>
      <c r="B561" s="69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68"/>
    </row>
    <row r="562" spans="1:15" x14ac:dyDescent="0.25">
      <c r="A562" s="68"/>
      <c r="B562" s="69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68"/>
    </row>
    <row r="563" spans="1:15" x14ac:dyDescent="0.25">
      <c r="A563" s="68"/>
      <c r="B563" s="69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68"/>
    </row>
    <row r="564" spans="1:15" x14ac:dyDescent="0.25">
      <c r="A564" s="68"/>
      <c r="B564" s="69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68"/>
    </row>
    <row r="565" spans="1:15" x14ac:dyDescent="0.25">
      <c r="A565" s="68"/>
      <c r="B565" s="69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68"/>
    </row>
    <row r="566" spans="1:15" x14ac:dyDescent="0.25">
      <c r="A566" s="68"/>
      <c r="B566" s="69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68"/>
    </row>
    <row r="567" spans="1:15" x14ac:dyDescent="0.25">
      <c r="A567" s="68"/>
      <c r="B567" s="69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68"/>
    </row>
    <row r="568" spans="1:15" x14ac:dyDescent="0.25">
      <c r="A568" s="68"/>
      <c r="B568" s="69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68"/>
    </row>
    <row r="569" spans="1:15" x14ac:dyDescent="0.25">
      <c r="A569" s="68"/>
      <c r="B569" s="69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68"/>
    </row>
    <row r="570" spans="1:15" x14ac:dyDescent="0.25">
      <c r="A570" s="68"/>
      <c r="B570" s="69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68"/>
    </row>
    <row r="571" spans="1:15" x14ac:dyDescent="0.25">
      <c r="A571" s="68"/>
      <c r="B571" s="69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68"/>
    </row>
    <row r="572" spans="1:15" x14ac:dyDescent="0.25">
      <c r="A572" s="68"/>
      <c r="B572" s="69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68"/>
    </row>
    <row r="573" spans="1:15" x14ac:dyDescent="0.25">
      <c r="A573" s="68"/>
      <c r="B573" s="69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68"/>
    </row>
    <row r="574" spans="1:15" x14ac:dyDescent="0.25">
      <c r="A574" s="68"/>
      <c r="B574" s="69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68"/>
    </row>
    <row r="575" spans="1:15" x14ac:dyDescent="0.25">
      <c r="A575" s="68"/>
      <c r="B575" s="69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68"/>
    </row>
    <row r="576" spans="1:15" x14ac:dyDescent="0.25">
      <c r="A576" s="68"/>
      <c r="B576" s="69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68"/>
    </row>
    <row r="577" spans="1:15" x14ac:dyDescent="0.25">
      <c r="A577" s="68"/>
      <c r="B577" s="69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68"/>
    </row>
    <row r="578" spans="1:15" x14ac:dyDescent="0.25">
      <c r="A578" s="68"/>
      <c r="B578" s="69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68"/>
    </row>
    <row r="579" spans="1:15" x14ac:dyDescent="0.25">
      <c r="A579" s="68"/>
      <c r="B579" s="69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68"/>
    </row>
    <row r="580" spans="1:15" x14ac:dyDescent="0.25">
      <c r="A580" s="68"/>
      <c r="B580" s="69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68"/>
    </row>
    <row r="581" spans="1:15" x14ac:dyDescent="0.25">
      <c r="A581" s="68"/>
      <c r="B581" s="69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68"/>
    </row>
    <row r="582" spans="1:15" x14ac:dyDescent="0.25">
      <c r="A582" s="68"/>
      <c r="B582" s="69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68"/>
    </row>
    <row r="583" spans="1:15" x14ac:dyDescent="0.25">
      <c r="A583" s="68"/>
      <c r="B583" s="69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68"/>
    </row>
    <row r="584" spans="1:15" x14ac:dyDescent="0.25">
      <c r="A584" s="68"/>
      <c r="B584" s="69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68"/>
    </row>
    <row r="585" spans="1:15" x14ac:dyDescent="0.25">
      <c r="A585" s="68"/>
      <c r="B585" s="69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68"/>
    </row>
    <row r="586" spans="1:15" x14ac:dyDescent="0.25">
      <c r="A586" s="68"/>
      <c r="B586" s="69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68"/>
    </row>
    <row r="587" spans="1:15" x14ac:dyDescent="0.25">
      <c r="A587" s="68"/>
      <c r="B587" s="69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68"/>
    </row>
    <row r="588" spans="1:15" x14ac:dyDescent="0.25">
      <c r="A588" s="68"/>
      <c r="B588" s="69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68"/>
    </row>
    <row r="589" spans="1:15" x14ac:dyDescent="0.25">
      <c r="A589" s="68"/>
      <c r="B589" s="69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68"/>
    </row>
    <row r="590" spans="1:15" x14ac:dyDescent="0.25">
      <c r="A590" s="68"/>
      <c r="B590" s="69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68"/>
    </row>
    <row r="591" spans="1:15" x14ac:dyDescent="0.25">
      <c r="A591" s="68"/>
      <c r="B591" s="69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68"/>
    </row>
    <row r="592" spans="1:15" x14ac:dyDescent="0.25">
      <c r="A592" s="68"/>
      <c r="B592" s="69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68"/>
    </row>
    <row r="593" spans="1:15" x14ac:dyDescent="0.25">
      <c r="A593" s="68"/>
      <c r="B593" s="69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68"/>
    </row>
    <row r="594" spans="1:15" x14ac:dyDescent="0.25">
      <c r="A594" s="68"/>
      <c r="B594" s="69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68"/>
    </row>
    <row r="595" spans="1:15" x14ac:dyDescent="0.25">
      <c r="A595" s="68"/>
      <c r="B595" s="69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68"/>
    </row>
    <row r="596" spans="1:15" x14ac:dyDescent="0.25">
      <c r="A596" s="68"/>
      <c r="B596" s="69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68"/>
    </row>
    <row r="597" spans="1:15" x14ac:dyDescent="0.25">
      <c r="A597" s="68"/>
      <c r="B597" s="69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68"/>
    </row>
    <row r="598" spans="1:15" x14ac:dyDescent="0.25">
      <c r="A598" s="68"/>
      <c r="B598" s="69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68"/>
    </row>
    <row r="599" spans="1:15" x14ac:dyDescent="0.25">
      <c r="A599" s="68"/>
      <c r="B599" s="69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68"/>
    </row>
    <row r="600" spans="1:15" x14ac:dyDescent="0.25">
      <c r="A600" s="68"/>
      <c r="B600" s="69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68"/>
    </row>
    <row r="601" spans="1:15" x14ac:dyDescent="0.25">
      <c r="A601" s="68"/>
      <c r="B601" s="69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68"/>
    </row>
    <row r="602" spans="1:15" x14ac:dyDescent="0.25">
      <c r="A602" s="68"/>
      <c r="B602" s="69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68"/>
    </row>
    <row r="603" spans="1:15" x14ac:dyDescent="0.25">
      <c r="A603" s="68"/>
      <c r="B603" s="69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68"/>
    </row>
    <row r="604" spans="1:15" x14ac:dyDescent="0.25">
      <c r="A604" s="68"/>
      <c r="B604" s="69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68"/>
    </row>
    <row r="605" spans="1:15" x14ac:dyDescent="0.25">
      <c r="A605" s="68"/>
      <c r="B605" s="69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68"/>
    </row>
    <row r="606" spans="1:15" x14ac:dyDescent="0.25">
      <c r="A606" s="68"/>
      <c r="B606" s="69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68"/>
    </row>
    <row r="607" spans="1:15" x14ac:dyDescent="0.25">
      <c r="A607" s="68"/>
      <c r="B607" s="69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68"/>
    </row>
    <row r="608" spans="1:15" x14ac:dyDescent="0.25">
      <c r="A608" s="68"/>
      <c r="B608" s="69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68"/>
    </row>
    <row r="609" spans="1:15" x14ac:dyDescent="0.25">
      <c r="A609" s="68"/>
      <c r="B609" s="69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68"/>
    </row>
    <row r="610" spans="1:15" x14ac:dyDescent="0.25">
      <c r="A610" s="68"/>
      <c r="B610" s="69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68"/>
    </row>
    <row r="611" spans="1:15" x14ac:dyDescent="0.25">
      <c r="A611" s="68"/>
      <c r="B611" s="69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68"/>
    </row>
    <row r="612" spans="1:15" x14ac:dyDescent="0.25">
      <c r="A612" s="68"/>
      <c r="B612" s="69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68"/>
    </row>
    <row r="613" spans="1:15" x14ac:dyDescent="0.25">
      <c r="A613" s="68"/>
      <c r="B613" s="69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68"/>
    </row>
    <row r="614" spans="1:15" x14ac:dyDescent="0.25">
      <c r="A614" s="68"/>
      <c r="B614" s="69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68"/>
    </row>
    <row r="615" spans="1:15" x14ac:dyDescent="0.25">
      <c r="A615" s="68"/>
      <c r="B615" s="69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68"/>
    </row>
    <row r="616" spans="1:15" x14ac:dyDescent="0.25">
      <c r="A616" s="68"/>
      <c r="B616" s="69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68"/>
    </row>
    <row r="617" spans="1:15" x14ac:dyDescent="0.25">
      <c r="A617" s="68"/>
      <c r="B617" s="69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68"/>
    </row>
    <row r="618" spans="1:15" x14ac:dyDescent="0.25">
      <c r="A618" s="68"/>
      <c r="B618" s="69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68"/>
    </row>
    <row r="619" spans="1:15" x14ac:dyDescent="0.25">
      <c r="A619" s="68"/>
      <c r="B619" s="69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68"/>
    </row>
    <row r="620" spans="1:15" x14ac:dyDescent="0.25">
      <c r="A620" s="68"/>
      <c r="B620" s="69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68"/>
    </row>
    <row r="621" spans="1:15" x14ac:dyDescent="0.25">
      <c r="A621" s="68"/>
      <c r="B621" s="69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68"/>
    </row>
    <row r="622" spans="1:15" x14ac:dyDescent="0.25">
      <c r="A622" s="68"/>
      <c r="B622" s="69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68"/>
    </row>
    <row r="623" spans="1:15" x14ac:dyDescent="0.25">
      <c r="A623" s="68"/>
      <c r="B623" s="69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68"/>
    </row>
    <row r="624" spans="1:15" x14ac:dyDescent="0.25">
      <c r="A624" s="68"/>
      <c r="B624" s="69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68"/>
    </row>
    <row r="625" spans="1:15" x14ac:dyDescent="0.25">
      <c r="A625" s="68"/>
      <c r="B625" s="69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68"/>
    </row>
    <row r="626" spans="1:15" x14ac:dyDescent="0.25">
      <c r="A626" s="68"/>
      <c r="B626" s="69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68"/>
    </row>
    <row r="627" spans="1:15" x14ac:dyDescent="0.25">
      <c r="A627" s="68"/>
      <c r="B627" s="69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68"/>
    </row>
    <row r="628" spans="1:15" x14ac:dyDescent="0.25">
      <c r="A628" s="68"/>
      <c r="B628" s="69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68"/>
    </row>
    <row r="629" spans="1:15" x14ac:dyDescent="0.25">
      <c r="A629" s="68"/>
      <c r="B629" s="69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68"/>
    </row>
    <row r="630" spans="1:15" x14ac:dyDescent="0.25">
      <c r="A630" s="68"/>
      <c r="B630" s="69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68"/>
    </row>
    <row r="631" spans="1:15" x14ac:dyDescent="0.25">
      <c r="A631" s="68"/>
      <c r="B631" s="69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68"/>
    </row>
    <row r="632" spans="1:15" x14ac:dyDescent="0.25">
      <c r="A632" s="68"/>
      <c r="B632" s="69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68"/>
    </row>
    <row r="633" spans="1:15" x14ac:dyDescent="0.25">
      <c r="A633" s="68"/>
      <c r="B633" s="69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68"/>
    </row>
    <row r="634" spans="1:15" x14ac:dyDescent="0.25">
      <c r="A634" s="68"/>
      <c r="B634" s="69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68"/>
    </row>
    <row r="635" spans="1:15" x14ac:dyDescent="0.25">
      <c r="A635" s="68"/>
      <c r="B635" s="69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68"/>
    </row>
    <row r="636" spans="1:15" x14ac:dyDescent="0.25">
      <c r="A636" s="68"/>
      <c r="B636" s="69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68"/>
    </row>
    <row r="637" spans="1:15" x14ac:dyDescent="0.25">
      <c r="A637" s="68"/>
      <c r="B637" s="69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68"/>
    </row>
    <row r="638" spans="1:15" x14ac:dyDescent="0.25">
      <c r="A638" s="68"/>
      <c r="B638" s="69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68"/>
    </row>
    <row r="639" spans="1:15" x14ac:dyDescent="0.25">
      <c r="A639" s="68"/>
      <c r="B639" s="69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68"/>
    </row>
    <row r="640" spans="1:15" x14ac:dyDescent="0.25">
      <c r="A640" s="68"/>
      <c r="B640" s="69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68"/>
    </row>
    <row r="641" spans="1:15" x14ac:dyDescent="0.25">
      <c r="A641" s="68"/>
      <c r="B641" s="69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68"/>
    </row>
    <row r="642" spans="1:15" x14ac:dyDescent="0.25">
      <c r="A642" s="68"/>
      <c r="B642" s="69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68"/>
    </row>
    <row r="643" spans="1:15" x14ac:dyDescent="0.25">
      <c r="A643" s="68"/>
      <c r="B643" s="69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68"/>
    </row>
    <row r="644" spans="1:15" x14ac:dyDescent="0.25">
      <c r="A644" s="68"/>
      <c r="B644" s="69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68"/>
    </row>
    <row r="645" spans="1:15" x14ac:dyDescent="0.25">
      <c r="A645" s="68"/>
      <c r="B645" s="69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68"/>
    </row>
    <row r="646" spans="1:15" x14ac:dyDescent="0.25">
      <c r="A646" s="68"/>
      <c r="B646" s="69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68"/>
    </row>
    <row r="647" spans="1:15" x14ac:dyDescent="0.25">
      <c r="A647" s="68"/>
      <c r="B647" s="69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68"/>
    </row>
    <row r="648" spans="1:15" x14ac:dyDescent="0.25">
      <c r="A648" s="68"/>
      <c r="B648" s="69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68"/>
    </row>
    <row r="649" spans="1:15" x14ac:dyDescent="0.25">
      <c r="A649" s="68"/>
      <c r="B649" s="69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68"/>
    </row>
    <row r="650" spans="1:15" x14ac:dyDescent="0.25">
      <c r="A650" s="68"/>
      <c r="B650" s="69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68"/>
    </row>
    <row r="651" spans="1:15" x14ac:dyDescent="0.25">
      <c r="A651" s="68"/>
      <c r="B651" s="69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68"/>
    </row>
    <row r="652" spans="1:15" x14ac:dyDescent="0.25">
      <c r="A652" s="68"/>
      <c r="B652" s="69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68"/>
    </row>
    <row r="653" spans="1:15" x14ac:dyDescent="0.25">
      <c r="A653" s="68"/>
      <c r="B653" s="69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68"/>
    </row>
    <row r="654" spans="1:15" x14ac:dyDescent="0.25">
      <c r="A654" s="68"/>
      <c r="B654" s="69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68"/>
    </row>
    <row r="655" spans="1:15" x14ac:dyDescent="0.25">
      <c r="A655" s="68"/>
      <c r="B655" s="69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68"/>
    </row>
    <row r="656" spans="1:15" x14ac:dyDescent="0.25">
      <c r="A656" s="68"/>
      <c r="B656" s="69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68"/>
    </row>
    <row r="657" spans="1:15" x14ac:dyDescent="0.25">
      <c r="A657" s="68"/>
      <c r="B657" s="69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68"/>
    </row>
    <row r="658" spans="1:15" x14ac:dyDescent="0.25">
      <c r="A658" s="68"/>
      <c r="B658" s="69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68"/>
    </row>
    <row r="659" spans="1:15" x14ac:dyDescent="0.25">
      <c r="A659" s="68"/>
      <c r="B659" s="69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68"/>
    </row>
    <row r="660" spans="1:15" x14ac:dyDescent="0.25">
      <c r="A660" s="68"/>
      <c r="B660" s="69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68"/>
    </row>
    <row r="661" spans="1:15" x14ac:dyDescent="0.25">
      <c r="A661" s="68"/>
      <c r="B661" s="69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68"/>
    </row>
    <row r="662" spans="1:15" x14ac:dyDescent="0.25">
      <c r="A662" s="68"/>
      <c r="B662" s="69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68"/>
    </row>
    <row r="663" spans="1:15" x14ac:dyDescent="0.25">
      <c r="A663" s="68"/>
      <c r="B663" s="69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68"/>
    </row>
    <row r="664" spans="1:15" x14ac:dyDescent="0.25">
      <c r="A664" s="68"/>
      <c r="B664" s="69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68"/>
    </row>
    <row r="665" spans="1:15" x14ac:dyDescent="0.25">
      <c r="A665" s="68"/>
      <c r="B665" s="69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68"/>
    </row>
    <row r="666" spans="1:15" x14ac:dyDescent="0.25">
      <c r="A666" s="68"/>
      <c r="B666" s="69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68"/>
    </row>
    <row r="667" spans="1:15" x14ac:dyDescent="0.25">
      <c r="A667" s="68"/>
      <c r="B667" s="69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68"/>
    </row>
    <row r="668" spans="1:15" x14ac:dyDescent="0.25">
      <c r="A668" s="68"/>
      <c r="B668" s="69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68"/>
    </row>
    <row r="669" spans="1:15" x14ac:dyDescent="0.25">
      <c r="A669" s="68"/>
      <c r="B669" s="69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68"/>
    </row>
    <row r="670" spans="1:15" x14ac:dyDescent="0.25">
      <c r="A670" s="68"/>
      <c r="B670" s="69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68"/>
    </row>
    <row r="671" spans="1:15" x14ac:dyDescent="0.25">
      <c r="A671" s="68"/>
      <c r="B671" s="69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68"/>
    </row>
    <row r="672" spans="1:15" x14ac:dyDescent="0.25">
      <c r="A672" s="68"/>
      <c r="B672" s="69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68"/>
    </row>
    <row r="673" spans="1:15" x14ac:dyDescent="0.25">
      <c r="A673" s="68"/>
      <c r="B673" s="69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68"/>
    </row>
    <row r="674" spans="1:15" x14ac:dyDescent="0.25">
      <c r="A674" s="68"/>
      <c r="B674" s="69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68"/>
    </row>
    <row r="675" spans="1:15" x14ac:dyDescent="0.25">
      <c r="A675" s="68"/>
      <c r="B675" s="69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68"/>
    </row>
    <row r="676" spans="1:15" x14ac:dyDescent="0.25">
      <c r="A676" s="68"/>
      <c r="B676" s="69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68"/>
    </row>
    <row r="677" spans="1:15" x14ac:dyDescent="0.25">
      <c r="A677" s="68"/>
      <c r="B677" s="69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68"/>
    </row>
    <row r="678" spans="1:15" x14ac:dyDescent="0.25">
      <c r="A678" s="68"/>
      <c r="B678" s="69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68"/>
    </row>
    <row r="679" spans="1:15" x14ac:dyDescent="0.25">
      <c r="A679" s="68"/>
      <c r="B679" s="69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68"/>
    </row>
    <row r="680" spans="1:15" x14ac:dyDescent="0.25">
      <c r="A680" s="68"/>
      <c r="B680" s="69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68"/>
    </row>
    <row r="681" spans="1:15" x14ac:dyDescent="0.25">
      <c r="A681" s="68"/>
      <c r="B681" s="69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68"/>
    </row>
    <row r="682" spans="1:15" x14ac:dyDescent="0.25">
      <c r="A682" s="68"/>
      <c r="B682" s="69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68"/>
    </row>
    <row r="683" spans="1:15" x14ac:dyDescent="0.25">
      <c r="A683" s="68"/>
      <c r="B683" s="69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68"/>
    </row>
    <row r="684" spans="1:15" x14ac:dyDescent="0.25">
      <c r="A684" s="68"/>
      <c r="B684" s="69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68"/>
    </row>
    <row r="685" spans="1:15" x14ac:dyDescent="0.25">
      <c r="A685" s="68"/>
      <c r="B685" s="69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68"/>
    </row>
    <row r="686" spans="1:15" x14ac:dyDescent="0.25">
      <c r="A686" s="68"/>
      <c r="B686" s="69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68"/>
    </row>
    <row r="687" spans="1:15" x14ac:dyDescent="0.25">
      <c r="A687" s="68"/>
      <c r="B687" s="69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68"/>
    </row>
    <row r="688" spans="1:15" x14ac:dyDescent="0.25">
      <c r="A688" s="68"/>
      <c r="B688" s="69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68"/>
    </row>
    <row r="689" spans="1:15" x14ac:dyDescent="0.25">
      <c r="A689" s="68"/>
      <c r="B689" s="69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68"/>
    </row>
    <row r="690" spans="1:15" x14ac:dyDescent="0.25">
      <c r="A690" s="68"/>
      <c r="B690" s="69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68"/>
    </row>
    <row r="691" spans="1:15" x14ac:dyDescent="0.25">
      <c r="A691" s="68"/>
      <c r="B691" s="69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68"/>
    </row>
    <row r="692" spans="1:15" x14ac:dyDescent="0.25">
      <c r="A692" s="68"/>
      <c r="B692" s="69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68"/>
    </row>
    <row r="693" spans="1:15" x14ac:dyDescent="0.25">
      <c r="A693" s="68"/>
      <c r="B693" s="69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68"/>
    </row>
    <row r="694" spans="1:15" x14ac:dyDescent="0.25">
      <c r="A694" s="68"/>
      <c r="B694" s="69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68"/>
    </row>
    <row r="695" spans="1:15" x14ac:dyDescent="0.25">
      <c r="A695" s="68"/>
      <c r="B695" s="69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68"/>
    </row>
    <row r="696" spans="1:15" x14ac:dyDescent="0.25">
      <c r="A696" s="68"/>
      <c r="B696" s="69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68"/>
    </row>
    <row r="697" spans="1:15" x14ac:dyDescent="0.25">
      <c r="A697" s="68"/>
      <c r="B697" s="69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68"/>
    </row>
    <row r="698" spans="1:15" x14ac:dyDescent="0.25">
      <c r="A698" s="68"/>
      <c r="B698" s="69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68"/>
    </row>
    <row r="699" spans="1:15" x14ac:dyDescent="0.25">
      <c r="A699" s="68"/>
      <c r="B699" s="69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68"/>
    </row>
    <row r="700" spans="1:15" x14ac:dyDescent="0.25">
      <c r="A700" s="68"/>
      <c r="B700" s="69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68"/>
    </row>
    <row r="701" spans="1:15" x14ac:dyDescent="0.25">
      <c r="A701" s="68"/>
      <c r="B701" s="69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68"/>
    </row>
    <row r="702" spans="1:15" x14ac:dyDescent="0.25">
      <c r="A702" s="68"/>
      <c r="B702" s="69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68"/>
    </row>
    <row r="703" spans="1:15" x14ac:dyDescent="0.25">
      <c r="A703" s="68"/>
      <c r="B703" s="69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68"/>
    </row>
    <row r="704" spans="1:15" x14ac:dyDescent="0.25">
      <c r="A704" s="68"/>
      <c r="B704" s="69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68"/>
    </row>
    <row r="705" spans="1:15" x14ac:dyDescent="0.25">
      <c r="A705" s="68"/>
      <c r="B705" s="69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68"/>
    </row>
    <row r="706" spans="1:15" x14ac:dyDescent="0.25">
      <c r="A706" s="68"/>
      <c r="B706" s="69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68"/>
    </row>
    <row r="707" spans="1:15" x14ac:dyDescent="0.25">
      <c r="A707" s="68"/>
      <c r="B707" s="69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68"/>
    </row>
    <row r="708" spans="1:15" x14ac:dyDescent="0.25">
      <c r="A708" s="68"/>
      <c r="B708" s="69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68"/>
    </row>
    <row r="709" spans="1:15" x14ac:dyDescent="0.25">
      <c r="A709" s="68"/>
      <c r="B709" s="69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68"/>
    </row>
    <row r="710" spans="1:15" x14ac:dyDescent="0.25">
      <c r="A710" s="68"/>
      <c r="B710" s="69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68"/>
    </row>
    <row r="711" spans="1:15" x14ac:dyDescent="0.25">
      <c r="A711" s="68"/>
      <c r="B711" s="69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68"/>
    </row>
    <row r="712" spans="1:15" x14ac:dyDescent="0.25">
      <c r="A712" s="68"/>
      <c r="B712" s="69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68"/>
    </row>
    <row r="713" spans="1:15" x14ac:dyDescent="0.25">
      <c r="A713" s="68"/>
      <c r="B713" s="69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68"/>
    </row>
    <row r="714" spans="1:15" x14ac:dyDescent="0.25">
      <c r="A714" s="68"/>
      <c r="B714" s="69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68"/>
    </row>
    <row r="715" spans="1:15" x14ac:dyDescent="0.25">
      <c r="A715" s="68"/>
      <c r="B715" s="69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68"/>
    </row>
    <row r="716" spans="1:15" x14ac:dyDescent="0.25">
      <c r="A716" s="68"/>
      <c r="B716" s="69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68"/>
    </row>
    <row r="717" spans="1:15" x14ac:dyDescent="0.25">
      <c r="A717" s="68"/>
      <c r="B717" s="69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68"/>
    </row>
    <row r="718" spans="1:15" x14ac:dyDescent="0.25">
      <c r="A718" s="68"/>
      <c r="B718" s="69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68"/>
    </row>
    <row r="719" spans="1:15" x14ac:dyDescent="0.25">
      <c r="A719" s="68"/>
      <c r="B719" s="69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68"/>
    </row>
    <row r="720" spans="1:15" x14ac:dyDescent="0.25">
      <c r="A720" s="68"/>
      <c r="B720" s="69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68"/>
    </row>
    <row r="721" spans="1:15" x14ac:dyDescent="0.25">
      <c r="A721" s="68"/>
      <c r="B721" s="69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68"/>
    </row>
    <row r="722" spans="1:15" x14ac:dyDescent="0.25">
      <c r="A722" s="68"/>
      <c r="B722" s="69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68"/>
    </row>
    <row r="723" spans="1:15" x14ac:dyDescent="0.25">
      <c r="A723" s="68"/>
      <c r="B723" s="69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68"/>
    </row>
    <row r="724" spans="1:15" x14ac:dyDescent="0.25">
      <c r="A724" s="68"/>
      <c r="B724" s="69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68"/>
    </row>
    <row r="725" spans="1:15" x14ac:dyDescent="0.25">
      <c r="A725" s="68"/>
      <c r="B725" s="69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68"/>
    </row>
    <row r="726" spans="1:15" x14ac:dyDescent="0.25">
      <c r="A726" s="68"/>
      <c r="B726" s="69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68"/>
    </row>
    <row r="727" spans="1:15" x14ac:dyDescent="0.25">
      <c r="A727" s="68"/>
      <c r="B727" s="69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68"/>
    </row>
    <row r="728" spans="1:15" x14ac:dyDescent="0.25">
      <c r="A728" s="68"/>
      <c r="B728" s="69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68"/>
    </row>
    <row r="729" spans="1:15" x14ac:dyDescent="0.25">
      <c r="A729" s="68"/>
      <c r="B729" s="69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68"/>
    </row>
    <row r="730" spans="1:15" x14ac:dyDescent="0.25">
      <c r="A730" s="68"/>
      <c r="B730" s="69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68"/>
    </row>
    <row r="731" spans="1:15" x14ac:dyDescent="0.25">
      <c r="A731" s="68"/>
      <c r="B731" s="69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68"/>
    </row>
    <row r="732" spans="1:15" x14ac:dyDescent="0.25">
      <c r="A732" s="68"/>
      <c r="B732" s="69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68"/>
    </row>
    <row r="733" spans="1:15" x14ac:dyDescent="0.25">
      <c r="A733" s="68"/>
      <c r="B733" s="69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68"/>
    </row>
    <row r="734" spans="1:15" x14ac:dyDescent="0.25">
      <c r="A734" s="68"/>
      <c r="B734" s="69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68"/>
    </row>
    <row r="735" spans="1:15" x14ac:dyDescent="0.25">
      <c r="A735" s="68"/>
      <c r="B735" s="69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68"/>
    </row>
    <row r="736" spans="1:15" x14ac:dyDescent="0.25">
      <c r="A736" s="68"/>
      <c r="B736" s="69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68"/>
    </row>
    <row r="737" spans="1:15" x14ac:dyDescent="0.25">
      <c r="A737" s="68"/>
      <c r="B737" s="69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68"/>
    </row>
    <row r="738" spans="1:15" x14ac:dyDescent="0.25">
      <c r="A738" s="68"/>
      <c r="B738" s="69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68"/>
    </row>
    <row r="739" spans="1:15" x14ac:dyDescent="0.25">
      <c r="A739" s="68"/>
      <c r="B739" s="69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68"/>
    </row>
    <row r="740" spans="1:15" x14ac:dyDescent="0.25">
      <c r="A740" s="68"/>
      <c r="B740" s="69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68"/>
    </row>
    <row r="741" spans="1:15" x14ac:dyDescent="0.25">
      <c r="A741" s="68"/>
      <c r="B741" s="69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68"/>
    </row>
    <row r="742" spans="1:15" x14ac:dyDescent="0.25">
      <c r="A742" s="68"/>
      <c r="B742" s="69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68"/>
    </row>
    <row r="743" spans="1:15" x14ac:dyDescent="0.25">
      <c r="A743" s="68"/>
      <c r="B743" s="69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68"/>
    </row>
    <row r="744" spans="1:15" x14ac:dyDescent="0.25">
      <c r="A744" s="68"/>
      <c r="B744" s="69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68"/>
    </row>
    <row r="745" spans="1:15" x14ac:dyDescent="0.25">
      <c r="A745" s="68"/>
      <c r="B745" s="69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68"/>
    </row>
    <row r="746" spans="1:15" x14ac:dyDescent="0.25">
      <c r="A746" s="68"/>
      <c r="B746" s="69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68"/>
    </row>
    <row r="747" spans="1:15" x14ac:dyDescent="0.25">
      <c r="A747" s="68"/>
      <c r="B747" s="69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68"/>
    </row>
    <row r="748" spans="1:15" x14ac:dyDescent="0.25">
      <c r="A748" s="68"/>
      <c r="B748" s="69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68"/>
    </row>
    <row r="749" spans="1:15" x14ac:dyDescent="0.25">
      <c r="A749" s="68"/>
      <c r="B749" s="69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68"/>
    </row>
    <row r="750" spans="1:15" x14ac:dyDescent="0.25">
      <c r="A750" s="68"/>
      <c r="B750" s="69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68"/>
    </row>
    <row r="751" spans="1:15" x14ac:dyDescent="0.25">
      <c r="A751" s="68"/>
      <c r="B751" s="69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68"/>
    </row>
    <row r="752" spans="1:15" x14ac:dyDescent="0.25">
      <c r="A752" s="68"/>
      <c r="B752" s="69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68"/>
    </row>
    <row r="753" spans="1:15" x14ac:dyDescent="0.25">
      <c r="A753" s="68"/>
      <c r="B753" s="69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68"/>
    </row>
    <row r="754" spans="1:15" x14ac:dyDescent="0.25">
      <c r="A754" s="68"/>
      <c r="B754" s="69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68"/>
    </row>
    <row r="755" spans="1:15" x14ac:dyDescent="0.25">
      <c r="A755" s="68"/>
      <c r="B755" s="69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68"/>
    </row>
    <row r="756" spans="1:15" x14ac:dyDescent="0.25">
      <c r="A756" s="68"/>
      <c r="B756" s="69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68"/>
    </row>
    <row r="757" spans="1:15" x14ac:dyDescent="0.25">
      <c r="A757" s="68"/>
      <c r="B757" s="69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68"/>
    </row>
    <row r="758" spans="1:15" x14ac:dyDescent="0.25">
      <c r="A758" s="68"/>
      <c r="B758" s="69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68"/>
    </row>
    <row r="759" spans="1:15" x14ac:dyDescent="0.25">
      <c r="A759" s="68"/>
      <c r="B759" s="69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68"/>
    </row>
    <row r="760" spans="1:15" x14ac:dyDescent="0.25">
      <c r="A760" s="68"/>
      <c r="B760" s="69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68"/>
    </row>
    <row r="761" spans="1:15" x14ac:dyDescent="0.25">
      <c r="A761" s="68"/>
      <c r="B761" s="69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68"/>
    </row>
    <row r="762" spans="1:15" x14ac:dyDescent="0.25">
      <c r="A762" s="68"/>
      <c r="B762" s="69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68"/>
    </row>
    <row r="763" spans="1:15" x14ac:dyDescent="0.25">
      <c r="A763" s="68"/>
      <c r="B763" s="69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68"/>
    </row>
    <row r="764" spans="1:15" x14ac:dyDescent="0.25">
      <c r="A764" s="68"/>
      <c r="B764" s="69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68"/>
    </row>
    <row r="765" spans="1:15" x14ac:dyDescent="0.25">
      <c r="A765" s="68"/>
      <c r="B765" s="69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68"/>
    </row>
    <row r="766" spans="1:15" x14ac:dyDescent="0.25">
      <c r="A766" s="68"/>
      <c r="B766" s="69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68"/>
    </row>
    <row r="767" spans="1:15" x14ac:dyDescent="0.25">
      <c r="A767" s="68"/>
      <c r="B767" s="69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68"/>
    </row>
    <row r="768" spans="1:15" x14ac:dyDescent="0.25">
      <c r="A768" s="68"/>
      <c r="B768" s="69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68"/>
    </row>
    <row r="769" spans="1:15" x14ac:dyDescent="0.25">
      <c r="A769" s="68"/>
      <c r="B769" s="69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68"/>
    </row>
    <row r="770" spans="1:15" x14ac:dyDescent="0.25">
      <c r="A770" s="68"/>
      <c r="B770" s="69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68"/>
    </row>
    <row r="771" spans="1:15" x14ac:dyDescent="0.25">
      <c r="A771" s="68"/>
      <c r="B771" s="69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68"/>
    </row>
    <row r="772" spans="1:15" x14ac:dyDescent="0.25">
      <c r="A772" s="68"/>
      <c r="B772" s="69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68"/>
    </row>
    <row r="773" spans="1:15" x14ac:dyDescent="0.25">
      <c r="A773" s="68"/>
      <c r="B773" s="69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68"/>
    </row>
    <row r="774" spans="1:15" x14ac:dyDescent="0.25">
      <c r="A774" s="68"/>
      <c r="B774" s="69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68"/>
    </row>
    <row r="775" spans="1:15" x14ac:dyDescent="0.25">
      <c r="A775" s="68"/>
      <c r="B775" s="69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68"/>
    </row>
    <row r="776" spans="1:15" x14ac:dyDescent="0.25">
      <c r="A776" s="68"/>
      <c r="B776" s="69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68"/>
    </row>
    <row r="777" spans="1:15" x14ac:dyDescent="0.25">
      <c r="A777" s="68"/>
      <c r="B777" s="69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68"/>
    </row>
    <row r="778" spans="1:15" x14ac:dyDescent="0.25">
      <c r="A778" s="68"/>
      <c r="B778" s="69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68"/>
    </row>
    <row r="779" spans="1:15" x14ac:dyDescent="0.25">
      <c r="A779" s="68"/>
      <c r="B779" s="69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68"/>
    </row>
    <row r="780" spans="1:15" x14ac:dyDescent="0.25">
      <c r="A780" s="68"/>
      <c r="B780" s="69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68"/>
    </row>
    <row r="781" spans="1:15" x14ac:dyDescent="0.25">
      <c r="A781" s="68"/>
      <c r="B781" s="69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68"/>
    </row>
    <row r="782" spans="1:15" x14ac:dyDescent="0.25">
      <c r="A782" s="68"/>
      <c r="B782" s="69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68"/>
    </row>
    <row r="783" spans="1:15" x14ac:dyDescent="0.25">
      <c r="A783" s="68"/>
      <c r="B783" s="69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68"/>
    </row>
    <row r="784" spans="1:15" x14ac:dyDescent="0.25">
      <c r="A784" s="68"/>
      <c r="B784" s="69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68"/>
    </row>
    <row r="785" spans="1:15" x14ac:dyDescent="0.25">
      <c r="A785" s="68"/>
      <c r="B785" s="69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68"/>
    </row>
    <row r="786" spans="1:15" x14ac:dyDescent="0.25">
      <c r="A786" s="68"/>
      <c r="B786" s="69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68"/>
    </row>
    <row r="787" spans="1:15" x14ac:dyDescent="0.25">
      <c r="A787" s="68"/>
      <c r="B787" s="69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68"/>
    </row>
    <row r="788" spans="1:15" x14ac:dyDescent="0.25">
      <c r="A788" s="68"/>
      <c r="B788" s="69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68"/>
    </row>
    <row r="789" spans="1:15" x14ac:dyDescent="0.25">
      <c r="A789" s="68"/>
      <c r="B789" s="69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68"/>
    </row>
    <row r="790" spans="1:15" x14ac:dyDescent="0.25">
      <c r="A790" s="68"/>
      <c r="B790" s="69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68"/>
    </row>
    <row r="791" spans="1:15" x14ac:dyDescent="0.25">
      <c r="A791" s="68"/>
      <c r="B791" s="69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68"/>
    </row>
    <row r="792" spans="1:15" x14ac:dyDescent="0.25">
      <c r="A792" s="68"/>
      <c r="B792" s="69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68"/>
    </row>
    <row r="793" spans="1:15" x14ac:dyDescent="0.25">
      <c r="A793" s="68"/>
      <c r="B793" s="69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68"/>
    </row>
    <row r="794" spans="1:15" x14ac:dyDescent="0.25">
      <c r="A794" s="68"/>
      <c r="B794" s="69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68"/>
    </row>
    <row r="795" spans="1:15" x14ac:dyDescent="0.25">
      <c r="A795" s="68"/>
      <c r="B795" s="69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68"/>
    </row>
    <row r="796" spans="1:15" x14ac:dyDescent="0.25">
      <c r="A796" s="68"/>
      <c r="B796" s="69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68"/>
    </row>
    <row r="797" spans="1:15" x14ac:dyDescent="0.25">
      <c r="A797" s="68"/>
      <c r="B797" s="69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68"/>
    </row>
    <row r="798" spans="1:15" x14ac:dyDescent="0.25">
      <c r="A798" s="68"/>
      <c r="B798" s="69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68"/>
    </row>
    <row r="799" spans="1:15" x14ac:dyDescent="0.25">
      <c r="A799" s="68"/>
      <c r="B799" s="69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68"/>
    </row>
    <row r="800" spans="1:15" x14ac:dyDescent="0.25">
      <c r="A800" s="68"/>
      <c r="B800" s="69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68"/>
    </row>
    <row r="801" spans="1:15" x14ac:dyDescent="0.25">
      <c r="A801" s="68"/>
      <c r="B801" s="69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68"/>
    </row>
    <row r="802" spans="1:15" x14ac:dyDescent="0.25">
      <c r="A802" s="68"/>
      <c r="B802" s="69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68"/>
    </row>
    <row r="803" spans="1:15" x14ac:dyDescent="0.25">
      <c r="A803" s="68"/>
      <c r="B803" s="69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68"/>
    </row>
    <row r="804" spans="1:15" x14ac:dyDescent="0.25">
      <c r="A804" s="68"/>
      <c r="B804" s="69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68"/>
    </row>
    <row r="805" spans="1:15" x14ac:dyDescent="0.25">
      <c r="A805" s="68"/>
      <c r="B805" s="69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68"/>
    </row>
    <row r="806" spans="1:15" x14ac:dyDescent="0.25">
      <c r="A806" s="68"/>
      <c r="B806" s="69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68"/>
    </row>
    <row r="807" spans="1:15" x14ac:dyDescent="0.25">
      <c r="A807" s="68"/>
      <c r="B807" s="69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68"/>
    </row>
    <row r="808" spans="1:15" x14ac:dyDescent="0.25">
      <c r="A808" s="68"/>
      <c r="B808" s="69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68"/>
    </row>
    <row r="809" spans="1:15" x14ac:dyDescent="0.25">
      <c r="A809" s="68"/>
      <c r="B809" s="69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68"/>
    </row>
    <row r="810" spans="1:15" x14ac:dyDescent="0.25">
      <c r="A810" s="68"/>
      <c r="B810" s="69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68"/>
    </row>
    <row r="811" spans="1:15" x14ac:dyDescent="0.25">
      <c r="A811" s="68"/>
      <c r="B811" s="69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68"/>
    </row>
    <row r="812" spans="1:15" x14ac:dyDescent="0.25">
      <c r="A812" s="68"/>
      <c r="B812" s="69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68"/>
    </row>
    <row r="813" spans="1:15" x14ac:dyDescent="0.25">
      <c r="A813" s="68"/>
      <c r="B813" s="69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68"/>
    </row>
    <row r="814" spans="1:15" x14ac:dyDescent="0.25">
      <c r="A814" s="68"/>
      <c r="B814" s="69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68"/>
    </row>
    <row r="815" spans="1:15" x14ac:dyDescent="0.25">
      <c r="A815" s="68"/>
      <c r="B815" s="69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68"/>
    </row>
    <row r="816" spans="1:15" x14ac:dyDescent="0.25">
      <c r="A816" s="68"/>
      <c r="B816" s="69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68"/>
    </row>
    <row r="817" spans="1:15" x14ac:dyDescent="0.25">
      <c r="A817" s="68"/>
      <c r="B817" s="69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68"/>
    </row>
    <row r="818" spans="1:15" x14ac:dyDescent="0.25">
      <c r="A818" s="68"/>
      <c r="B818" s="69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68"/>
    </row>
    <row r="819" spans="1:15" x14ac:dyDescent="0.25">
      <c r="A819" s="68"/>
      <c r="B819" s="69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68"/>
    </row>
    <row r="820" spans="1:15" x14ac:dyDescent="0.25">
      <c r="A820" s="68"/>
      <c r="B820" s="69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68"/>
    </row>
    <row r="821" spans="1:15" x14ac:dyDescent="0.25">
      <c r="A821" s="68"/>
      <c r="B821" s="69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68"/>
    </row>
    <row r="822" spans="1:15" x14ac:dyDescent="0.25">
      <c r="A822" s="68"/>
      <c r="B822" s="69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68"/>
    </row>
    <row r="823" spans="1:15" x14ac:dyDescent="0.25">
      <c r="A823" s="68"/>
      <c r="B823" s="69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68"/>
    </row>
    <row r="824" spans="1:15" x14ac:dyDescent="0.25">
      <c r="A824" s="68"/>
      <c r="B824" s="69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68"/>
    </row>
    <row r="825" spans="1:15" x14ac:dyDescent="0.25">
      <c r="A825" s="68"/>
      <c r="B825" s="69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68"/>
    </row>
    <row r="826" spans="1:15" x14ac:dyDescent="0.25">
      <c r="A826" s="68"/>
      <c r="B826" s="69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68"/>
    </row>
    <row r="827" spans="1:15" x14ac:dyDescent="0.25">
      <c r="A827" s="68"/>
      <c r="B827" s="69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68"/>
    </row>
    <row r="828" spans="1:15" x14ac:dyDescent="0.25">
      <c r="A828" s="68"/>
      <c r="B828" s="69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68"/>
    </row>
    <row r="829" spans="1:15" x14ac:dyDescent="0.25">
      <c r="A829" s="68"/>
      <c r="B829" s="69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68"/>
    </row>
    <row r="830" spans="1:15" x14ac:dyDescent="0.25">
      <c r="A830" s="68"/>
      <c r="B830" s="69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68"/>
    </row>
    <row r="831" spans="1:15" x14ac:dyDescent="0.25">
      <c r="A831" s="68"/>
      <c r="B831" s="69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68"/>
    </row>
    <row r="832" spans="1:15" x14ac:dyDescent="0.25">
      <c r="A832" s="68"/>
      <c r="B832" s="69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68"/>
    </row>
    <row r="833" spans="1:15" x14ac:dyDescent="0.25">
      <c r="A833" s="68"/>
      <c r="B833" s="69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68"/>
    </row>
    <row r="834" spans="1:15" x14ac:dyDescent="0.25">
      <c r="A834" s="68"/>
      <c r="B834" s="69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68"/>
    </row>
    <row r="835" spans="1:15" x14ac:dyDescent="0.25">
      <c r="A835" s="68"/>
      <c r="B835" s="69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68"/>
    </row>
    <row r="836" spans="1:15" x14ac:dyDescent="0.25">
      <c r="A836" s="68"/>
      <c r="B836" s="69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68"/>
    </row>
    <row r="837" spans="1:15" x14ac:dyDescent="0.25">
      <c r="A837" s="68"/>
      <c r="B837" s="69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68"/>
    </row>
    <row r="838" spans="1:15" x14ac:dyDescent="0.25">
      <c r="A838" s="68"/>
      <c r="B838" s="69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68"/>
    </row>
    <row r="839" spans="1:15" x14ac:dyDescent="0.25">
      <c r="A839" s="68"/>
      <c r="B839" s="69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68"/>
    </row>
    <row r="840" spans="1:15" x14ac:dyDescent="0.25">
      <c r="A840" s="68"/>
      <c r="B840" s="69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68"/>
    </row>
    <row r="841" spans="1:15" x14ac:dyDescent="0.25">
      <c r="A841" s="68"/>
      <c r="B841" s="69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68"/>
    </row>
    <row r="842" spans="1:15" x14ac:dyDescent="0.25">
      <c r="A842" s="68"/>
      <c r="B842" s="69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68"/>
    </row>
    <row r="843" spans="1:15" x14ac:dyDescent="0.25">
      <c r="A843" s="68"/>
      <c r="B843" s="69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68"/>
    </row>
    <row r="844" spans="1:15" x14ac:dyDescent="0.25">
      <c r="A844" s="68"/>
      <c r="B844" s="69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68"/>
    </row>
    <row r="845" spans="1:15" x14ac:dyDescent="0.25">
      <c r="A845" s="68"/>
      <c r="B845" s="69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68"/>
    </row>
    <row r="846" spans="1:15" x14ac:dyDescent="0.25">
      <c r="A846" s="68"/>
      <c r="B846" s="69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68"/>
    </row>
    <row r="847" spans="1:15" x14ac:dyDescent="0.25">
      <c r="A847" s="68"/>
      <c r="B847" s="69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68"/>
    </row>
    <row r="848" spans="1:15" x14ac:dyDescent="0.25">
      <c r="A848" s="68"/>
      <c r="B848" s="69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68"/>
    </row>
    <row r="849" spans="1:15" x14ac:dyDescent="0.25">
      <c r="A849" s="68"/>
      <c r="B849" s="69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68"/>
    </row>
    <row r="850" spans="1:15" x14ac:dyDescent="0.25">
      <c r="A850" s="68"/>
      <c r="B850" s="69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68"/>
    </row>
    <row r="851" spans="1:15" x14ac:dyDescent="0.25">
      <c r="A851" s="68"/>
      <c r="B851" s="69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68"/>
    </row>
    <row r="852" spans="1:15" x14ac:dyDescent="0.25">
      <c r="A852" s="68"/>
      <c r="B852" s="69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68"/>
    </row>
    <row r="853" spans="1:15" x14ac:dyDescent="0.25">
      <c r="A853" s="68"/>
      <c r="B853" s="69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68"/>
    </row>
    <row r="854" spans="1:15" x14ac:dyDescent="0.25">
      <c r="A854" s="68"/>
      <c r="B854" s="69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68"/>
    </row>
    <row r="855" spans="1:15" x14ac:dyDescent="0.25">
      <c r="A855" s="68"/>
      <c r="B855" s="69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68"/>
    </row>
    <row r="856" spans="1:15" x14ac:dyDescent="0.25">
      <c r="A856" s="68"/>
      <c r="B856" s="69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68"/>
    </row>
    <row r="857" spans="1:15" x14ac:dyDescent="0.25">
      <c r="A857" s="68"/>
      <c r="B857" s="69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68"/>
    </row>
    <row r="858" spans="1:15" x14ac:dyDescent="0.25">
      <c r="A858" s="68"/>
      <c r="B858" s="69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68"/>
    </row>
    <row r="859" spans="1:15" x14ac:dyDescent="0.25">
      <c r="A859" s="68"/>
      <c r="B859" s="69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68"/>
    </row>
    <row r="860" spans="1:15" x14ac:dyDescent="0.25">
      <c r="A860" s="68"/>
      <c r="B860" s="69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68"/>
    </row>
    <row r="861" spans="1:15" x14ac:dyDescent="0.25">
      <c r="A861" s="68"/>
      <c r="B861" s="69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68"/>
    </row>
    <row r="862" spans="1:15" x14ac:dyDescent="0.25">
      <c r="A862" s="68"/>
      <c r="B862" s="69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68"/>
    </row>
    <row r="863" spans="1:15" x14ac:dyDescent="0.25">
      <c r="A863" s="68"/>
      <c r="B863" s="69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68"/>
    </row>
    <row r="864" spans="1:15" x14ac:dyDescent="0.25">
      <c r="A864" s="68"/>
      <c r="B864" s="69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68"/>
    </row>
    <row r="865" spans="1:15" x14ac:dyDescent="0.25">
      <c r="A865" s="68"/>
      <c r="B865" s="69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68"/>
    </row>
    <row r="866" spans="1:15" x14ac:dyDescent="0.25">
      <c r="A866" s="68"/>
      <c r="B866" s="69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68"/>
    </row>
    <row r="867" spans="1:15" x14ac:dyDescent="0.25">
      <c r="A867" s="68"/>
      <c r="B867" s="69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68"/>
    </row>
    <row r="868" spans="1:15" x14ac:dyDescent="0.25">
      <c r="A868" s="68"/>
      <c r="B868" s="69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68"/>
    </row>
    <row r="869" spans="1:15" x14ac:dyDescent="0.25">
      <c r="A869" s="68"/>
      <c r="B869" s="69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68"/>
    </row>
    <row r="870" spans="1:15" x14ac:dyDescent="0.25">
      <c r="A870" s="68"/>
      <c r="B870" s="69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68"/>
    </row>
    <row r="871" spans="1:15" x14ac:dyDescent="0.25">
      <c r="A871" s="68"/>
      <c r="B871" s="69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68"/>
    </row>
    <row r="872" spans="1:15" x14ac:dyDescent="0.25">
      <c r="A872" s="68"/>
      <c r="B872" s="69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68"/>
    </row>
    <row r="873" spans="1:15" x14ac:dyDescent="0.25">
      <c r="A873" s="68"/>
      <c r="B873" s="69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68"/>
    </row>
    <row r="874" spans="1:15" x14ac:dyDescent="0.25">
      <c r="A874" s="68"/>
      <c r="B874" s="69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68"/>
    </row>
    <row r="875" spans="1:15" x14ac:dyDescent="0.25">
      <c r="A875" s="68"/>
      <c r="B875" s="69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68"/>
    </row>
    <row r="876" spans="1:15" x14ac:dyDescent="0.25">
      <c r="A876" s="68"/>
      <c r="B876" s="69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68"/>
    </row>
    <row r="877" spans="1:15" x14ac:dyDescent="0.25">
      <c r="A877" s="68"/>
      <c r="B877" s="69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68"/>
    </row>
    <row r="878" spans="1:15" x14ac:dyDescent="0.25">
      <c r="A878" s="68"/>
      <c r="B878" s="69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68"/>
    </row>
    <row r="879" spans="1:15" x14ac:dyDescent="0.25">
      <c r="A879" s="68"/>
      <c r="B879" s="69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68"/>
    </row>
    <row r="880" spans="1:15" x14ac:dyDescent="0.25">
      <c r="A880" s="68"/>
      <c r="B880" s="69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68"/>
    </row>
    <row r="881" spans="1:15" x14ac:dyDescent="0.25">
      <c r="A881" s="68"/>
      <c r="B881" s="69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68"/>
    </row>
    <row r="882" spans="1:15" x14ac:dyDescent="0.25">
      <c r="A882" s="68"/>
      <c r="B882" s="69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68"/>
    </row>
    <row r="883" spans="1:15" x14ac:dyDescent="0.25">
      <c r="A883" s="68"/>
      <c r="B883" s="69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68"/>
    </row>
    <row r="884" spans="1:15" x14ac:dyDescent="0.25">
      <c r="A884" s="68"/>
      <c r="B884" s="69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68"/>
    </row>
    <row r="885" spans="1:15" x14ac:dyDescent="0.25">
      <c r="A885" s="68"/>
      <c r="B885" s="69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68"/>
    </row>
    <row r="886" spans="1:15" x14ac:dyDescent="0.25">
      <c r="A886" s="68"/>
      <c r="B886" s="69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68"/>
    </row>
    <row r="887" spans="1:15" x14ac:dyDescent="0.25">
      <c r="A887" s="68"/>
      <c r="B887" s="69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68"/>
    </row>
    <row r="888" spans="1:15" x14ac:dyDescent="0.25">
      <c r="A888" s="68"/>
      <c r="B888" s="69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68"/>
    </row>
    <row r="889" spans="1:15" x14ac:dyDescent="0.25">
      <c r="A889" s="68"/>
      <c r="B889" s="69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68"/>
    </row>
    <row r="890" spans="1:15" x14ac:dyDescent="0.25">
      <c r="A890" s="68"/>
      <c r="B890" s="69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68"/>
    </row>
    <row r="891" spans="1:15" x14ac:dyDescent="0.25">
      <c r="A891" s="68"/>
      <c r="B891" s="69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68"/>
    </row>
    <row r="892" spans="1:15" x14ac:dyDescent="0.25">
      <c r="A892" s="68"/>
      <c r="B892" s="69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68"/>
    </row>
    <row r="893" spans="1:15" x14ac:dyDescent="0.25">
      <c r="A893" s="68"/>
      <c r="B893" s="69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68"/>
    </row>
    <row r="894" spans="1:15" x14ac:dyDescent="0.25">
      <c r="A894" s="68"/>
      <c r="B894" s="69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68"/>
    </row>
    <row r="895" spans="1:15" x14ac:dyDescent="0.25">
      <c r="A895" s="68"/>
      <c r="B895" s="69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68"/>
    </row>
    <row r="896" spans="1:15" x14ac:dyDescent="0.25">
      <c r="A896" s="68"/>
      <c r="B896" s="69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68"/>
    </row>
    <row r="897" spans="1:15" x14ac:dyDescent="0.25">
      <c r="A897" s="68"/>
      <c r="B897" s="69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68"/>
    </row>
    <row r="898" spans="1:15" x14ac:dyDescent="0.25">
      <c r="A898" s="68"/>
      <c r="B898" s="69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68"/>
    </row>
    <row r="899" spans="1:15" x14ac:dyDescent="0.25">
      <c r="A899" s="68"/>
      <c r="B899" s="69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68"/>
    </row>
    <row r="900" spans="1:15" x14ac:dyDescent="0.25">
      <c r="A900" s="68"/>
      <c r="B900" s="69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68"/>
    </row>
    <row r="901" spans="1:15" x14ac:dyDescent="0.25">
      <c r="A901" s="68"/>
      <c r="B901" s="69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68"/>
    </row>
    <row r="902" spans="1:15" x14ac:dyDescent="0.25">
      <c r="A902" s="68"/>
      <c r="B902" s="69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68"/>
    </row>
    <row r="903" spans="1:15" x14ac:dyDescent="0.25">
      <c r="A903" s="68"/>
      <c r="B903" s="69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68"/>
    </row>
    <row r="904" spans="1:15" x14ac:dyDescent="0.25">
      <c r="A904" s="68"/>
      <c r="B904" s="69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68"/>
    </row>
    <row r="905" spans="1:15" x14ac:dyDescent="0.25">
      <c r="A905" s="68"/>
      <c r="B905" s="69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68"/>
    </row>
    <row r="906" spans="1:15" x14ac:dyDescent="0.25">
      <c r="A906" s="68"/>
      <c r="B906" s="69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68"/>
    </row>
    <row r="907" spans="1:15" x14ac:dyDescent="0.25">
      <c r="A907" s="68"/>
      <c r="B907" s="69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68"/>
    </row>
    <row r="908" spans="1:15" x14ac:dyDescent="0.25">
      <c r="A908" s="68"/>
      <c r="B908" s="69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68"/>
    </row>
    <row r="909" spans="1:15" x14ac:dyDescent="0.25">
      <c r="A909" s="68"/>
      <c r="B909" s="69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68"/>
    </row>
    <row r="910" spans="1:15" x14ac:dyDescent="0.25">
      <c r="A910" s="68"/>
      <c r="B910" s="69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68"/>
    </row>
    <row r="911" spans="1:15" x14ac:dyDescent="0.25">
      <c r="A911" s="68"/>
      <c r="B911" s="69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68"/>
    </row>
    <row r="912" spans="1:15" x14ac:dyDescent="0.25">
      <c r="A912" s="68"/>
      <c r="B912" s="69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68"/>
    </row>
    <row r="913" spans="1:15" x14ac:dyDescent="0.25">
      <c r="A913" s="68"/>
      <c r="B913" s="69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68"/>
    </row>
    <row r="914" spans="1:15" x14ac:dyDescent="0.25">
      <c r="A914" s="68"/>
      <c r="B914" s="69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68"/>
    </row>
    <row r="915" spans="1:15" x14ac:dyDescent="0.25">
      <c r="A915" s="68"/>
      <c r="B915" s="69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68"/>
    </row>
    <row r="916" spans="1:15" x14ac:dyDescent="0.25">
      <c r="A916" s="68"/>
      <c r="B916" s="69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68"/>
    </row>
    <row r="917" spans="1:15" x14ac:dyDescent="0.25">
      <c r="A917" s="68"/>
      <c r="B917" s="69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68"/>
    </row>
    <row r="918" spans="1:15" x14ac:dyDescent="0.25">
      <c r="A918" s="68"/>
      <c r="B918" s="69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68"/>
    </row>
    <row r="919" spans="1:15" x14ac:dyDescent="0.25">
      <c r="A919" s="68"/>
      <c r="B919" s="69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68"/>
    </row>
    <row r="920" spans="1:15" x14ac:dyDescent="0.25">
      <c r="A920" s="68"/>
      <c r="B920" s="69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68"/>
    </row>
    <row r="921" spans="1:15" x14ac:dyDescent="0.25">
      <c r="A921" s="68"/>
      <c r="B921" s="69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68"/>
    </row>
    <row r="922" spans="1:15" x14ac:dyDescent="0.25">
      <c r="A922" s="68"/>
      <c r="B922" s="69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68"/>
    </row>
    <row r="923" spans="1:15" x14ac:dyDescent="0.25">
      <c r="A923" s="68"/>
      <c r="B923" s="69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68"/>
    </row>
    <row r="924" spans="1:15" x14ac:dyDescent="0.25">
      <c r="A924" s="68"/>
      <c r="B924" s="69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68"/>
    </row>
    <row r="925" spans="1:15" x14ac:dyDescent="0.25">
      <c r="A925" s="68"/>
      <c r="B925" s="69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68"/>
    </row>
    <row r="926" spans="1:15" x14ac:dyDescent="0.25">
      <c r="A926" s="68"/>
      <c r="B926" s="69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68"/>
    </row>
    <row r="927" spans="1:15" x14ac:dyDescent="0.25">
      <c r="A927" s="68"/>
      <c r="B927" s="69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68"/>
    </row>
    <row r="928" spans="1:15" x14ac:dyDescent="0.25">
      <c r="A928" s="68"/>
      <c r="B928" s="69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68"/>
    </row>
    <row r="929" spans="1:15" x14ac:dyDescent="0.25">
      <c r="A929" s="68"/>
      <c r="B929" s="69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68"/>
    </row>
    <row r="930" spans="1:15" x14ac:dyDescent="0.25">
      <c r="A930" s="68"/>
      <c r="B930" s="69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68"/>
    </row>
    <row r="931" spans="1:15" x14ac:dyDescent="0.25">
      <c r="A931" s="68"/>
      <c r="B931" s="69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68"/>
    </row>
    <row r="932" spans="1:15" x14ac:dyDescent="0.25">
      <c r="A932" s="68"/>
      <c r="B932" s="69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68"/>
    </row>
    <row r="933" spans="1:15" x14ac:dyDescent="0.25">
      <c r="A933" s="68"/>
      <c r="B933" s="69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68"/>
    </row>
    <row r="934" spans="1:15" x14ac:dyDescent="0.25">
      <c r="A934" s="68"/>
      <c r="B934" s="69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68"/>
    </row>
    <row r="935" spans="1:15" x14ac:dyDescent="0.25">
      <c r="A935" s="68"/>
      <c r="B935" s="69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68"/>
    </row>
    <row r="936" spans="1:15" x14ac:dyDescent="0.25">
      <c r="A936" s="68"/>
      <c r="B936" s="69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68"/>
    </row>
    <row r="937" spans="1:15" x14ac:dyDescent="0.25">
      <c r="A937" s="68"/>
      <c r="B937" s="69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68"/>
    </row>
    <row r="938" spans="1:15" x14ac:dyDescent="0.25">
      <c r="A938" s="68"/>
      <c r="B938" s="69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68"/>
    </row>
    <row r="939" spans="1:15" x14ac:dyDescent="0.25">
      <c r="A939" s="68"/>
      <c r="B939" s="69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68"/>
    </row>
    <row r="940" spans="1:15" x14ac:dyDescent="0.25">
      <c r="A940" s="68"/>
      <c r="B940" s="69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68"/>
    </row>
    <row r="941" spans="1:15" x14ac:dyDescent="0.25">
      <c r="A941" s="68"/>
      <c r="B941" s="69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68"/>
    </row>
    <row r="942" spans="1:15" x14ac:dyDescent="0.25">
      <c r="A942" s="68"/>
      <c r="B942" s="69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68"/>
    </row>
    <row r="943" spans="1:15" x14ac:dyDescent="0.25">
      <c r="A943" s="68"/>
      <c r="B943" s="69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68"/>
    </row>
    <row r="944" spans="1:15" x14ac:dyDescent="0.25">
      <c r="A944" s="68"/>
      <c r="B944" s="69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68"/>
    </row>
    <row r="945" spans="1:15" x14ac:dyDescent="0.25">
      <c r="A945" s="68"/>
      <c r="B945" s="69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68"/>
    </row>
    <row r="946" spans="1:15" x14ac:dyDescent="0.25">
      <c r="A946" s="68"/>
      <c r="B946" s="69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68"/>
    </row>
    <row r="947" spans="1:15" x14ac:dyDescent="0.25">
      <c r="A947" s="68"/>
      <c r="B947" s="69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68"/>
    </row>
    <row r="948" spans="1:15" x14ac:dyDescent="0.25">
      <c r="A948" s="68"/>
      <c r="B948" s="69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68"/>
    </row>
    <row r="949" spans="1:15" x14ac:dyDescent="0.25">
      <c r="A949" s="68"/>
      <c r="B949" s="69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68"/>
    </row>
    <row r="950" spans="1:15" x14ac:dyDescent="0.25">
      <c r="A950" s="68"/>
      <c r="B950" s="69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68"/>
    </row>
    <row r="951" spans="1:15" x14ac:dyDescent="0.25">
      <c r="A951" s="68"/>
      <c r="B951" s="69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68"/>
    </row>
    <row r="952" spans="1:15" x14ac:dyDescent="0.25">
      <c r="A952" s="68"/>
      <c r="B952" s="69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68"/>
    </row>
    <row r="953" spans="1:15" x14ac:dyDescent="0.25">
      <c r="A953" s="68"/>
      <c r="B953" s="69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68"/>
    </row>
    <row r="954" spans="1:15" x14ac:dyDescent="0.25">
      <c r="A954" s="68"/>
      <c r="B954" s="69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68"/>
    </row>
    <row r="955" spans="1:15" x14ac:dyDescent="0.25">
      <c r="A955" s="68"/>
      <c r="B955" s="69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68"/>
    </row>
    <row r="956" spans="1:15" x14ac:dyDescent="0.25">
      <c r="A956" s="68"/>
      <c r="B956" s="69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68"/>
    </row>
    <row r="957" spans="1:15" x14ac:dyDescent="0.25">
      <c r="A957" s="68"/>
      <c r="B957" s="69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68"/>
    </row>
    <row r="958" spans="1:15" x14ac:dyDescent="0.25">
      <c r="A958" s="68"/>
      <c r="B958" s="69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68"/>
    </row>
    <row r="959" spans="1:15" x14ac:dyDescent="0.25">
      <c r="A959" s="68"/>
      <c r="B959" s="69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68"/>
    </row>
    <row r="960" spans="1:15" x14ac:dyDescent="0.25">
      <c r="A960" s="68"/>
      <c r="B960" s="69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68"/>
    </row>
    <row r="961" spans="1:15" x14ac:dyDescent="0.25">
      <c r="A961" s="68"/>
      <c r="B961" s="69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68"/>
    </row>
    <row r="962" spans="1:15" x14ac:dyDescent="0.25">
      <c r="A962" s="68"/>
      <c r="B962" s="69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68"/>
    </row>
    <row r="963" spans="1:15" x14ac:dyDescent="0.25">
      <c r="A963" s="68"/>
      <c r="B963" s="69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68"/>
    </row>
    <row r="964" spans="1:15" x14ac:dyDescent="0.25">
      <c r="A964" s="68"/>
      <c r="B964" s="69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68"/>
    </row>
    <row r="965" spans="1:15" x14ac:dyDescent="0.25">
      <c r="A965" s="68"/>
      <c r="B965" s="69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68"/>
    </row>
    <row r="966" spans="1:15" x14ac:dyDescent="0.25">
      <c r="A966" s="68"/>
      <c r="B966" s="69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68"/>
    </row>
    <row r="967" spans="1:15" x14ac:dyDescent="0.25">
      <c r="A967" s="68"/>
      <c r="B967" s="69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68"/>
    </row>
    <row r="968" spans="1:15" x14ac:dyDescent="0.25">
      <c r="A968" s="68"/>
      <c r="B968" s="69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68"/>
    </row>
    <row r="969" spans="1:15" x14ac:dyDescent="0.25">
      <c r="A969" s="68"/>
      <c r="B969" s="69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68"/>
    </row>
    <row r="970" spans="1:15" x14ac:dyDescent="0.25">
      <c r="A970" s="68"/>
      <c r="B970" s="69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68"/>
    </row>
    <row r="971" spans="1:15" x14ac:dyDescent="0.25">
      <c r="A971" s="68"/>
      <c r="B971" s="69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68"/>
    </row>
    <row r="972" spans="1:15" x14ac:dyDescent="0.25">
      <c r="A972" s="68"/>
      <c r="B972" s="69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68"/>
    </row>
    <row r="973" spans="1:15" x14ac:dyDescent="0.25">
      <c r="A973" s="68"/>
      <c r="B973" s="69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68"/>
    </row>
    <row r="974" spans="1:15" x14ac:dyDescent="0.25">
      <c r="A974" s="68"/>
      <c r="B974" s="69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68"/>
    </row>
    <row r="975" spans="1:15" x14ac:dyDescent="0.25">
      <c r="A975" s="68"/>
      <c r="B975" s="69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68"/>
    </row>
    <row r="976" spans="1:15" x14ac:dyDescent="0.25">
      <c r="A976" s="68"/>
      <c r="B976" s="69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68"/>
    </row>
    <row r="977" spans="1:15" x14ac:dyDescent="0.25">
      <c r="A977" s="68"/>
      <c r="B977" s="69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68"/>
    </row>
    <row r="978" spans="1:15" x14ac:dyDescent="0.25">
      <c r="A978" s="68"/>
      <c r="B978" s="69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68"/>
    </row>
    <row r="979" spans="1:15" x14ac:dyDescent="0.25">
      <c r="A979" s="68"/>
      <c r="B979" s="69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68"/>
    </row>
    <row r="980" spans="1:15" x14ac:dyDescent="0.25">
      <c r="A980" s="68"/>
      <c r="B980" s="69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68"/>
    </row>
    <row r="981" spans="1:15" x14ac:dyDescent="0.25">
      <c r="A981" s="68"/>
      <c r="B981" s="69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68"/>
    </row>
    <row r="982" spans="1:15" x14ac:dyDescent="0.25">
      <c r="A982" s="68"/>
      <c r="B982" s="69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68"/>
    </row>
    <row r="983" spans="1:15" x14ac:dyDescent="0.25">
      <c r="A983" s="68"/>
      <c r="B983" s="69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68"/>
    </row>
    <row r="984" spans="1:15" x14ac:dyDescent="0.25">
      <c r="A984" s="68"/>
      <c r="B984" s="69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68"/>
    </row>
    <row r="985" spans="1:15" x14ac:dyDescent="0.25">
      <c r="A985" s="68"/>
      <c r="B985" s="69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68"/>
    </row>
    <row r="986" spans="1:15" x14ac:dyDescent="0.25">
      <c r="A986" s="68"/>
      <c r="B986" s="69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68"/>
    </row>
    <row r="987" spans="1:15" x14ac:dyDescent="0.25">
      <c r="A987" s="68"/>
      <c r="B987" s="69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68"/>
    </row>
    <row r="988" spans="1:15" x14ac:dyDescent="0.25">
      <c r="A988" s="68"/>
      <c r="B988" s="69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68"/>
    </row>
    <row r="989" spans="1:15" x14ac:dyDescent="0.25">
      <c r="A989" s="68"/>
      <c r="B989" s="69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68"/>
    </row>
    <row r="990" spans="1:15" x14ac:dyDescent="0.25">
      <c r="A990" s="68"/>
      <c r="B990" s="69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68"/>
    </row>
    <row r="991" spans="1:15" x14ac:dyDescent="0.25">
      <c r="A991" s="68"/>
      <c r="B991" s="69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68"/>
    </row>
    <row r="992" spans="1:15" x14ac:dyDescent="0.25">
      <c r="A992" s="68"/>
      <c r="B992" s="69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68"/>
    </row>
    <row r="993" spans="1:15" x14ac:dyDescent="0.25">
      <c r="A993" s="68"/>
      <c r="B993" s="69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68"/>
    </row>
    <row r="994" spans="1:15" x14ac:dyDescent="0.25">
      <c r="A994" s="68"/>
      <c r="B994" s="69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68"/>
    </row>
    <row r="995" spans="1:15" x14ac:dyDescent="0.25">
      <c r="A995" s="68"/>
      <c r="B995" s="69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68"/>
    </row>
    <row r="996" spans="1:15" x14ac:dyDescent="0.25">
      <c r="A996" s="68"/>
      <c r="B996" s="69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68"/>
    </row>
    <row r="997" spans="1:15" x14ac:dyDescent="0.25">
      <c r="A997" s="68"/>
      <c r="B997" s="69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68"/>
    </row>
    <row r="998" spans="1:15" x14ac:dyDescent="0.25">
      <c r="A998" s="68"/>
      <c r="B998" s="69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68"/>
    </row>
    <row r="999" spans="1:15" x14ac:dyDescent="0.25">
      <c r="A999" s="68"/>
      <c r="B999" s="69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68"/>
    </row>
    <row r="1000" spans="1:15" x14ac:dyDescent="0.25">
      <c r="A1000" s="68"/>
      <c r="B1000" s="69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68"/>
    </row>
    <row r="1001" spans="1:15" x14ac:dyDescent="0.25">
      <c r="A1001" s="68"/>
      <c r="B1001" s="69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68"/>
    </row>
    <row r="1002" spans="1:15" x14ac:dyDescent="0.25">
      <c r="A1002" s="68"/>
      <c r="B1002" s="69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68"/>
    </row>
    <row r="1003" spans="1:15" x14ac:dyDescent="0.25">
      <c r="A1003" s="68"/>
      <c r="B1003" s="69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68"/>
    </row>
    <row r="1004" spans="1:15" x14ac:dyDescent="0.25">
      <c r="A1004" s="68"/>
      <c r="B1004" s="69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68"/>
    </row>
    <row r="1005" spans="1:15" x14ac:dyDescent="0.25">
      <c r="A1005" s="68"/>
      <c r="B1005" s="69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68"/>
    </row>
    <row r="1006" spans="1:15" x14ac:dyDescent="0.25">
      <c r="A1006" s="68"/>
      <c r="B1006" s="69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68"/>
    </row>
    <row r="1007" spans="1:15" x14ac:dyDescent="0.25">
      <c r="A1007" s="68"/>
      <c r="B1007" s="69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68"/>
    </row>
    <row r="1008" spans="1:15" x14ac:dyDescent="0.25">
      <c r="A1008" s="68"/>
      <c r="B1008" s="69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68"/>
    </row>
    <row r="1009" spans="1:15" x14ac:dyDescent="0.25">
      <c r="A1009" s="68"/>
      <c r="B1009" s="69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68"/>
    </row>
    <row r="1010" spans="1:15" x14ac:dyDescent="0.25">
      <c r="A1010" s="68"/>
      <c r="B1010" s="69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68"/>
    </row>
    <row r="1011" spans="1:15" x14ac:dyDescent="0.25">
      <c r="A1011" s="68"/>
      <c r="B1011" s="69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68"/>
    </row>
    <row r="1012" spans="1:15" x14ac:dyDescent="0.25">
      <c r="A1012" s="68"/>
      <c r="B1012" s="69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68"/>
    </row>
    <row r="1013" spans="1:15" x14ac:dyDescent="0.25">
      <c r="A1013" s="68"/>
      <c r="B1013" s="69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68"/>
    </row>
    <row r="1014" spans="1:15" x14ac:dyDescent="0.25">
      <c r="A1014" s="68"/>
      <c r="B1014" s="69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68"/>
    </row>
    <row r="1015" spans="1:15" x14ac:dyDescent="0.25">
      <c r="A1015" s="68"/>
      <c r="B1015" s="69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68"/>
    </row>
    <row r="1016" spans="1:15" x14ac:dyDescent="0.25">
      <c r="A1016" s="68"/>
      <c r="B1016" s="69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68"/>
    </row>
    <row r="1017" spans="1:15" x14ac:dyDescent="0.25">
      <c r="A1017" s="68"/>
      <c r="B1017" s="69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68"/>
    </row>
    <row r="1018" spans="1:15" x14ac:dyDescent="0.25">
      <c r="A1018" s="68"/>
      <c r="B1018" s="69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68"/>
    </row>
    <row r="1019" spans="1:15" x14ac:dyDescent="0.25">
      <c r="A1019" s="68"/>
      <c r="B1019" s="69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68"/>
    </row>
    <row r="1020" spans="1:15" x14ac:dyDescent="0.25">
      <c r="A1020" s="68"/>
      <c r="B1020" s="69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68"/>
    </row>
    <row r="1021" spans="1:15" x14ac:dyDescent="0.25">
      <c r="A1021" s="68"/>
      <c r="B1021" s="69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68"/>
    </row>
    <row r="1022" spans="1:15" x14ac:dyDescent="0.25">
      <c r="A1022" s="68"/>
      <c r="B1022" s="69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68"/>
    </row>
    <row r="1023" spans="1:15" x14ac:dyDescent="0.25">
      <c r="A1023" s="68"/>
      <c r="B1023" s="69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68"/>
    </row>
    <row r="1024" spans="1:15" x14ac:dyDescent="0.25">
      <c r="A1024" s="68"/>
      <c r="B1024" s="69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68"/>
    </row>
    <row r="1025" spans="1:15" x14ac:dyDescent="0.25">
      <c r="A1025" s="68"/>
      <c r="B1025" s="69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68"/>
    </row>
    <row r="1026" spans="1:15" x14ac:dyDescent="0.25">
      <c r="A1026" s="68"/>
      <c r="B1026" s="69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68"/>
    </row>
    <row r="1027" spans="1:15" x14ac:dyDescent="0.25">
      <c r="A1027" s="68"/>
      <c r="B1027" s="69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68"/>
    </row>
    <row r="1028" spans="1:15" x14ac:dyDescent="0.25">
      <c r="A1028" s="68"/>
      <c r="B1028" s="69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68"/>
    </row>
    <row r="1029" spans="1:15" x14ac:dyDescent="0.25">
      <c r="A1029" s="68"/>
      <c r="B1029" s="69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68"/>
    </row>
    <row r="1030" spans="1:15" x14ac:dyDescent="0.25">
      <c r="A1030" s="68"/>
      <c r="B1030" s="69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68"/>
    </row>
    <row r="1031" spans="1:15" x14ac:dyDescent="0.25">
      <c r="A1031" s="68"/>
      <c r="B1031" s="69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68"/>
    </row>
    <row r="1032" spans="1:15" x14ac:dyDescent="0.25">
      <c r="A1032" s="68"/>
      <c r="B1032" s="69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68"/>
    </row>
    <row r="1033" spans="1:15" x14ac:dyDescent="0.25">
      <c r="A1033" s="68"/>
      <c r="B1033" s="69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68"/>
    </row>
    <row r="1034" spans="1:15" x14ac:dyDescent="0.25">
      <c r="A1034" s="68"/>
      <c r="B1034" s="69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68"/>
    </row>
    <row r="1035" spans="1:15" x14ac:dyDescent="0.25">
      <c r="A1035" s="68"/>
      <c r="B1035" s="69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68"/>
    </row>
    <row r="1036" spans="1:15" x14ac:dyDescent="0.25">
      <c r="A1036" s="68"/>
      <c r="B1036" s="69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68"/>
    </row>
    <row r="1037" spans="1:15" x14ac:dyDescent="0.25">
      <c r="A1037" s="68"/>
      <c r="B1037" s="69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68"/>
    </row>
    <row r="1038" spans="1:15" x14ac:dyDescent="0.25">
      <c r="A1038" s="68"/>
      <c r="B1038" s="69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68"/>
    </row>
    <row r="1039" spans="1:15" x14ac:dyDescent="0.25">
      <c r="A1039" s="68"/>
      <c r="B1039" s="69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68"/>
    </row>
    <row r="1040" spans="1:15" x14ac:dyDescent="0.25">
      <c r="A1040" s="68"/>
      <c r="B1040" s="69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68"/>
    </row>
    <row r="1041" spans="1:15" x14ac:dyDescent="0.25">
      <c r="A1041" s="68"/>
      <c r="B1041" s="69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68"/>
    </row>
    <row r="1042" spans="1:15" x14ac:dyDescent="0.25">
      <c r="A1042" s="68"/>
      <c r="B1042" s="69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68"/>
    </row>
    <row r="1043" spans="1:15" x14ac:dyDescent="0.25">
      <c r="A1043" s="68"/>
      <c r="B1043" s="69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68"/>
    </row>
    <row r="1044" spans="1:15" x14ac:dyDescent="0.25">
      <c r="A1044" s="68"/>
      <c r="B1044" s="69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68"/>
    </row>
    <row r="1045" spans="1:15" x14ac:dyDescent="0.25">
      <c r="A1045" s="68"/>
      <c r="B1045" s="69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68"/>
    </row>
    <row r="1046" spans="1:15" x14ac:dyDescent="0.25">
      <c r="A1046" s="68"/>
      <c r="B1046" s="69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68"/>
    </row>
    <row r="1047" spans="1:15" x14ac:dyDescent="0.25">
      <c r="A1047" s="68"/>
      <c r="B1047" s="69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68"/>
    </row>
    <row r="1048" spans="1:15" x14ac:dyDescent="0.25">
      <c r="A1048" s="68"/>
      <c r="B1048" s="69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68"/>
    </row>
    <row r="1049" spans="1:15" x14ac:dyDescent="0.25">
      <c r="A1049" s="68"/>
      <c r="B1049" s="69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68"/>
    </row>
    <row r="1050" spans="1:15" x14ac:dyDescent="0.25">
      <c r="A1050" s="68"/>
      <c r="B1050" s="69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68"/>
    </row>
    <row r="1051" spans="1:15" x14ac:dyDescent="0.25">
      <c r="A1051" s="68"/>
      <c r="B1051" s="69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68"/>
    </row>
    <row r="1052" spans="1:15" x14ac:dyDescent="0.25">
      <c r="A1052" s="68"/>
      <c r="B1052" s="69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68"/>
    </row>
    <row r="1053" spans="1:15" x14ac:dyDescent="0.25">
      <c r="A1053" s="68"/>
      <c r="B1053" s="69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68"/>
    </row>
    <row r="1054" spans="1:15" x14ac:dyDescent="0.25">
      <c r="A1054" s="68"/>
      <c r="B1054" s="69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68"/>
    </row>
    <row r="1055" spans="1:15" x14ac:dyDescent="0.25">
      <c r="A1055" s="68"/>
      <c r="B1055" s="69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68"/>
    </row>
    <row r="1056" spans="1:15" x14ac:dyDescent="0.25">
      <c r="A1056" s="68"/>
      <c r="B1056" s="69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68"/>
    </row>
    <row r="1057" spans="1:15" x14ac:dyDescent="0.25">
      <c r="A1057" s="68"/>
      <c r="B1057" s="69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4"/>
  <sheetViews>
    <sheetView topLeftCell="A197" workbookViewId="0">
      <selection activeCell="H224" sqref="H224"/>
    </sheetView>
  </sheetViews>
  <sheetFormatPr defaultColWidth="17.5703125" defaultRowHeight="15" x14ac:dyDescent="0.25"/>
  <cols>
    <col min="1" max="1" width="17.5703125" style="30"/>
    <col min="2" max="2" width="17.5703125" style="30" customWidth="1"/>
    <col min="3" max="16384" width="17.5703125" style="30"/>
  </cols>
  <sheetData>
    <row r="1" spans="1:3" ht="30" x14ac:dyDescent="0.25">
      <c r="A1" s="30" t="s">
        <v>235</v>
      </c>
      <c r="B1" s="30" t="s">
        <v>236</v>
      </c>
    </row>
    <row r="2" spans="1:3" x14ac:dyDescent="0.25">
      <c r="A2" s="30">
        <v>1.44444444444444</v>
      </c>
      <c r="B2" s="30">
        <v>2.1388888888888902</v>
      </c>
      <c r="C2" s="30">
        <f>((A2+B2)/2)*0.1</f>
        <v>0.17916666666666653</v>
      </c>
    </row>
    <row r="3" spans="1:3" x14ac:dyDescent="0.25">
      <c r="A3" s="30">
        <v>0</v>
      </c>
      <c r="B3" s="30">
        <v>1.4166666666666667</v>
      </c>
      <c r="C3" s="30">
        <f t="shared" ref="C3:C66" si="0">((A3+B3)/2)*0.1</f>
        <v>7.0833333333333345E-2</v>
      </c>
    </row>
    <row r="4" spans="1:3" x14ac:dyDescent="0.25">
      <c r="A4" s="30">
        <v>2.8888888888888888</v>
      </c>
      <c r="B4" s="30">
        <v>2.3055555555555558</v>
      </c>
      <c r="C4" s="30">
        <f t="shared" si="0"/>
        <v>0.25972222222222224</v>
      </c>
    </row>
    <row r="5" spans="1:3" x14ac:dyDescent="0.25">
      <c r="A5" s="30">
        <v>0.19444444444444445</v>
      </c>
      <c r="B5" s="30">
        <v>4.8611111111111107</v>
      </c>
      <c r="C5" s="30">
        <f t="shared" si="0"/>
        <v>0.25277777777777777</v>
      </c>
    </row>
    <row r="6" spans="1:3" x14ac:dyDescent="0.25">
      <c r="A6" s="30">
        <v>0</v>
      </c>
      <c r="B6" s="30">
        <v>0.3888888888888889</v>
      </c>
      <c r="C6" s="30">
        <f t="shared" si="0"/>
        <v>1.9444444444444445E-2</v>
      </c>
    </row>
    <row r="7" spans="1:3" x14ac:dyDescent="0.25">
      <c r="A7" s="30">
        <v>0.3611111111111111</v>
      </c>
      <c r="B7" s="30">
        <v>1.4444444444444444</v>
      </c>
      <c r="C7" s="30">
        <f t="shared" si="0"/>
        <v>9.027777777777779E-2</v>
      </c>
    </row>
    <row r="8" spans="1:3" x14ac:dyDescent="0.25">
      <c r="A8" s="30">
        <v>1.1388888888888891</v>
      </c>
      <c r="B8" s="30">
        <v>0.77777777777777779</v>
      </c>
      <c r="C8" s="30">
        <f t="shared" si="0"/>
        <v>9.5833333333333354E-2</v>
      </c>
    </row>
    <row r="9" spans="1:3" x14ac:dyDescent="0.25">
      <c r="A9" s="30">
        <v>0</v>
      </c>
      <c r="B9" s="30">
        <v>3.25</v>
      </c>
      <c r="C9" s="30">
        <f t="shared" si="0"/>
        <v>0.16250000000000001</v>
      </c>
    </row>
    <row r="10" spans="1:3" x14ac:dyDescent="0.25">
      <c r="A10" s="30">
        <v>5.5277777777777786</v>
      </c>
      <c r="B10" s="30">
        <v>2.4722222222222223</v>
      </c>
      <c r="C10" s="30">
        <f t="shared" si="0"/>
        <v>0.4</v>
      </c>
    </row>
    <row r="11" spans="1:3" x14ac:dyDescent="0.25">
      <c r="A11" s="30">
        <v>0</v>
      </c>
      <c r="B11" s="30">
        <v>1.7222222222222223</v>
      </c>
      <c r="C11" s="30">
        <f t="shared" si="0"/>
        <v>8.6111111111111124E-2</v>
      </c>
    </row>
    <row r="12" spans="1:3" x14ac:dyDescent="0.25">
      <c r="A12" s="30">
        <v>0</v>
      </c>
      <c r="B12" s="30">
        <v>0</v>
      </c>
      <c r="C12" s="30">
        <f t="shared" si="0"/>
        <v>0</v>
      </c>
    </row>
    <row r="13" spans="1:3" x14ac:dyDescent="0.25">
      <c r="A13" s="30">
        <v>0</v>
      </c>
      <c r="B13" s="30">
        <v>1.5277777777777779</v>
      </c>
      <c r="C13" s="30">
        <f t="shared" si="0"/>
        <v>7.6388888888888895E-2</v>
      </c>
    </row>
    <row r="14" spans="1:3" x14ac:dyDescent="0.25">
      <c r="A14" s="30">
        <v>3.5277777777777781</v>
      </c>
      <c r="B14" s="30">
        <v>6.3611111111111107</v>
      </c>
      <c r="C14" s="30">
        <f t="shared" si="0"/>
        <v>0.49444444444444446</v>
      </c>
    </row>
    <row r="15" spans="1:3" x14ac:dyDescent="0.25">
      <c r="A15" s="30">
        <v>0.3611111111111111</v>
      </c>
      <c r="B15" s="30">
        <v>3.0833333333333339</v>
      </c>
      <c r="C15" s="30">
        <f t="shared" si="0"/>
        <v>0.17222222222222228</v>
      </c>
    </row>
    <row r="16" spans="1:3" x14ac:dyDescent="0.25">
      <c r="A16" s="30">
        <v>0.88888888888888895</v>
      </c>
      <c r="B16" s="30">
        <v>2.416666666666667</v>
      </c>
      <c r="C16" s="30">
        <f t="shared" si="0"/>
        <v>0.1652777777777778</v>
      </c>
    </row>
    <row r="17" spans="1:3" x14ac:dyDescent="0.25">
      <c r="A17" s="30">
        <v>0.22222222222222224</v>
      </c>
      <c r="B17" s="30">
        <v>1.1111111111111112</v>
      </c>
      <c r="C17" s="30">
        <f t="shared" si="0"/>
        <v>6.666666666666668E-2</v>
      </c>
    </row>
    <row r="18" spans="1:3" x14ac:dyDescent="0.25">
      <c r="A18" s="30">
        <v>0</v>
      </c>
      <c r="B18" s="30">
        <v>6.1111111111111116</v>
      </c>
      <c r="C18" s="30">
        <f t="shared" si="0"/>
        <v>0.30555555555555558</v>
      </c>
    </row>
    <row r="19" spans="1:3" x14ac:dyDescent="0.25">
      <c r="A19" s="30">
        <v>8.25</v>
      </c>
      <c r="B19" s="30">
        <v>7.4166666666666679</v>
      </c>
      <c r="C19" s="30">
        <f t="shared" si="0"/>
        <v>0.78333333333333344</v>
      </c>
    </row>
    <row r="20" spans="1:3" x14ac:dyDescent="0.25">
      <c r="A20" s="30">
        <v>3.8055555555555558</v>
      </c>
      <c r="B20" s="30">
        <v>1.8333333333333333</v>
      </c>
      <c r="C20" s="30">
        <f t="shared" si="0"/>
        <v>0.2819444444444445</v>
      </c>
    </row>
    <row r="21" spans="1:3" x14ac:dyDescent="0.25">
      <c r="A21" s="30">
        <v>1.5277777777777779</v>
      </c>
      <c r="B21" s="30">
        <v>5.3888888888888893</v>
      </c>
      <c r="C21" s="30">
        <f t="shared" si="0"/>
        <v>0.34583333333333338</v>
      </c>
    </row>
    <row r="22" spans="1:3" x14ac:dyDescent="0.25">
      <c r="A22" s="30">
        <v>3.2777777777777781</v>
      </c>
      <c r="B22" s="30">
        <v>5.75</v>
      </c>
      <c r="C22" s="30">
        <f t="shared" si="0"/>
        <v>0.45138888888888895</v>
      </c>
    </row>
    <row r="23" spans="1:3" x14ac:dyDescent="0.25">
      <c r="A23" s="30">
        <v>0</v>
      </c>
      <c r="B23" s="30">
        <v>1.5</v>
      </c>
      <c r="C23" s="30">
        <f t="shared" si="0"/>
        <v>7.5000000000000011E-2</v>
      </c>
    </row>
    <row r="24" spans="1:3" x14ac:dyDescent="0.25">
      <c r="A24" s="30">
        <v>0</v>
      </c>
      <c r="B24" s="30">
        <v>0</v>
      </c>
      <c r="C24" s="30">
        <f t="shared" si="0"/>
        <v>0</v>
      </c>
    </row>
    <row r="25" spans="1:3" x14ac:dyDescent="0.25">
      <c r="A25" s="30">
        <v>3.8888888888888893</v>
      </c>
      <c r="B25" s="30">
        <v>2.5555555555555554</v>
      </c>
      <c r="C25" s="30">
        <f t="shared" si="0"/>
        <v>0.32222222222222224</v>
      </c>
    </row>
    <row r="26" spans="1:3" x14ac:dyDescent="0.25">
      <c r="A26" s="30">
        <v>0</v>
      </c>
      <c r="B26" s="30">
        <v>0</v>
      </c>
      <c r="C26" s="30">
        <f t="shared" si="0"/>
        <v>0</v>
      </c>
    </row>
    <row r="27" spans="1:3" x14ac:dyDescent="0.25">
      <c r="A27" s="30">
        <v>3.5555555555555558</v>
      </c>
      <c r="B27" s="30">
        <v>5.3888888888888893</v>
      </c>
      <c r="C27" s="30">
        <f t="shared" si="0"/>
        <v>0.44722222222222224</v>
      </c>
    </row>
    <row r="28" spans="1:3" x14ac:dyDescent="0.25">
      <c r="A28" s="30">
        <v>2.7500000000000004</v>
      </c>
      <c r="B28" s="30">
        <v>7.1388888888888893</v>
      </c>
      <c r="C28" s="30">
        <f t="shared" si="0"/>
        <v>0.49444444444444446</v>
      </c>
    </row>
    <row r="29" spans="1:3" x14ac:dyDescent="0.25">
      <c r="A29" s="30">
        <v>0</v>
      </c>
      <c r="B29" s="30">
        <v>0</v>
      </c>
      <c r="C29" s="30">
        <f t="shared" si="0"/>
        <v>0</v>
      </c>
    </row>
    <row r="30" spans="1:3" x14ac:dyDescent="0.25">
      <c r="A30" s="30">
        <v>0</v>
      </c>
      <c r="B30" s="30">
        <v>0.94444444444444453</v>
      </c>
      <c r="C30" s="30">
        <f t="shared" si="0"/>
        <v>4.7222222222222228E-2</v>
      </c>
    </row>
    <row r="31" spans="1:3" x14ac:dyDescent="0.25">
      <c r="A31" s="30">
        <v>0</v>
      </c>
      <c r="B31" s="30">
        <v>0.3611111111111111</v>
      </c>
      <c r="C31" s="30">
        <f t="shared" si="0"/>
        <v>1.8055555555555557E-2</v>
      </c>
    </row>
    <row r="32" spans="1:3" x14ac:dyDescent="0.25">
      <c r="A32" s="30">
        <v>0</v>
      </c>
      <c r="B32" s="30">
        <v>0</v>
      </c>
      <c r="C32" s="30">
        <f t="shared" si="0"/>
        <v>0</v>
      </c>
    </row>
    <row r="33" spans="1:3" x14ac:dyDescent="0.25">
      <c r="A33" s="30">
        <v>0</v>
      </c>
      <c r="B33" s="30">
        <v>5.083333333333333</v>
      </c>
      <c r="C33" s="30">
        <f t="shared" si="0"/>
        <v>0.25416666666666665</v>
      </c>
    </row>
    <row r="34" spans="1:3" x14ac:dyDescent="0.25">
      <c r="A34" s="30">
        <v>0</v>
      </c>
      <c r="B34" s="30">
        <v>0</v>
      </c>
      <c r="C34" s="30">
        <f t="shared" si="0"/>
        <v>0</v>
      </c>
    </row>
    <row r="35" spans="1:3" x14ac:dyDescent="0.25">
      <c r="A35" s="30">
        <v>1.25</v>
      </c>
      <c r="B35" s="30">
        <v>2.6111111111111116</v>
      </c>
      <c r="C35" s="30">
        <f t="shared" si="0"/>
        <v>0.19305555555555559</v>
      </c>
    </row>
    <row r="36" spans="1:3" x14ac:dyDescent="0.25">
      <c r="A36" s="30">
        <v>0</v>
      </c>
      <c r="B36" s="30">
        <v>0.5</v>
      </c>
      <c r="C36" s="30">
        <f t="shared" si="0"/>
        <v>2.5000000000000001E-2</v>
      </c>
    </row>
    <row r="37" spans="1:3" x14ac:dyDescent="0.25">
      <c r="A37" s="30">
        <v>0</v>
      </c>
      <c r="B37" s="30">
        <v>0.47222222222222227</v>
      </c>
      <c r="C37" s="30">
        <f t="shared" si="0"/>
        <v>2.3611111111111114E-2</v>
      </c>
    </row>
    <row r="38" spans="1:3" x14ac:dyDescent="0.25">
      <c r="A38" s="30">
        <v>0</v>
      </c>
      <c r="B38" s="30">
        <v>0</v>
      </c>
      <c r="C38" s="30">
        <f t="shared" si="0"/>
        <v>0</v>
      </c>
    </row>
    <row r="39" spans="1:3" x14ac:dyDescent="0.25">
      <c r="A39" s="30">
        <v>0.91666666666666663</v>
      </c>
      <c r="B39" s="30">
        <v>2.7777777777777781</v>
      </c>
      <c r="C39" s="30">
        <f t="shared" si="0"/>
        <v>0.18472222222222223</v>
      </c>
    </row>
    <row r="40" spans="1:3" x14ac:dyDescent="0.25">
      <c r="A40" s="30">
        <v>0</v>
      </c>
      <c r="B40" s="30">
        <v>1.5</v>
      </c>
      <c r="C40" s="30">
        <f t="shared" si="0"/>
        <v>7.5000000000000011E-2</v>
      </c>
    </row>
    <row r="41" spans="1:3" x14ac:dyDescent="0.25">
      <c r="A41" s="30">
        <v>0</v>
      </c>
      <c r="B41" s="30">
        <v>4.666666666666667</v>
      </c>
      <c r="C41" s="30">
        <f t="shared" si="0"/>
        <v>0.23333333333333336</v>
      </c>
    </row>
    <row r="42" spans="1:3" x14ac:dyDescent="0.25">
      <c r="A42" s="30">
        <v>1.1666666666666667</v>
      </c>
      <c r="B42" s="30">
        <v>4.1388888888888884</v>
      </c>
      <c r="C42" s="30">
        <f t="shared" si="0"/>
        <v>0.26527777777777778</v>
      </c>
    </row>
    <row r="43" spans="1:3" x14ac:dyDescent="0.25">
      <c r="A43" s="30">
        <v>0</v>
      </c>
      <c r="B43" s="30">
        <v>0</v>
      </c>
      <c r="C43" s="30">
        <f t="shared" si="0"/>
        <v>0</v>
      </c>
    </row>
    <row r="44" spans="1:3" x14ac:dyDescent="0.25">
      <c r="A44" s="30">
        <v>1.8611111111111112</v>
      </c>
      <c r="B44" s="30">
        <v>0.66666666666666674</v>
      </c>
      <c r="C44" s="30">
        <f t="shared" si="0"/>
        <v>0.12638888888888888</v>
      </c>
    </row>
    <row r="45" spans="1:3" x14ac:dyDescent="0.25">
      <c r="A45" s="30">
        <v>2.8055555555555558</v>
      </c>
      <c r="B45" s="30">
        <v>4.5555555555555562</v>
      </c>
      <c r="C45" s="30">
        <f t="shared" si="0"/>
        <v>0.36805555555555564</v>
      </c>
    </row>
    <row r="46" spans="1:3" x14ac:dyDescent="0.25">
      <c r="A46" s="30">
        <v>0.63888888888888884</v>
      </c>
      <c r="B46" s="30">
        <v>3.4166666666666665</v>
      </c>
      <c r="C46" s="30">
        <f t="shared" si="0"/>
        <v>0.20277777777777778</v>
      </c>
    </row>
    <row r="47" spans="1:3" x14ac:dyDescent="0.25">
      <c r="A47" s="30">
        <v>1.8055555555555554</v>
      </c>
      <c r="B47" s="30">
        <v>4.6944444444444446</v>
      </c>
      <c r="C47" s="30">
        <f t="shared" si="0"/>
        <v>0.32500000000000001</v>
      </c>
    </row>
    <row r="48" spans="1:3" x14ac:dyDescent="0.25">
      <c r="A48" s="30">
        <v>0</v>
      </c>
      <c r="B48" s="30">
        <v>1.1944444444444444</v>
      </c>
      <c r="C48" s="30">
        <f t="shared" si="0"/>
        <v>5.9722222222222225E-2</v>
      </c>
    </row>
    <row r="49" spans="1:3" x14ac:dyDescent="0.25">
      <c r="A49" s="30">
        <v>0</v>
      </c>
      <c r="B49" s="30">
        <v>0</v>
      </c>
      <c r="C49" s="30">
        <f t="shared" si="0"/>
        <v>0</v>
      </c>
    </row>
    <row r="50" spans="1:3" x14ac:dyDescent="0.25">
      <c r="A50" s="30">
        <v>0.44444444444444448</v>
      </c>
      <c r="B50" s="30">
        <v>2.916666666666667</v>
      </c>
      <c r="C50" s="30">
        <f t="shared" si="0"/>
        <v>0.1680555555555556</v>
      </c>
    </row>
    <row r="51" spans="1:3" x14ac:dyDescent="0.25">
      <c r="A51" s="30">
        <v>0</v>
      </c>
      <c r="B51" s="30">
        <v>2.7222222222222223</v>
      </c>
      <c r="C51" s="30">
        <f t="shared" si="0"/>
        <v>0.13611111111111113</v>
      </c>
    </row>
    <row r="52" spans="1:3" x14ac:dyDescent="0.25">
      <c r="A52" s="30">
        <v>1.9444444444444446</v>
      </c>
      <c r="B52" s="30">
        <v>3.9444444444444446</v>
      </c>
      <c r="C52" s="30">
        <f t="shared" si="0"/>
        <v>0.29444444444444445</v>
      </c>
    </row>
    <row r="53" spans="1:3" x14ac:dyDescent="0.25">
      <c r="A53" s="30">
        <v>2.5277777777777781</v>
      </c>
      <c r="B53" s="30">
        <v>1.7222222222222223</v>
      </c>
      <c r="C53" s="30">
        <f t="shared" si="0"/>
        <v>0.21250000000000002</v>
      </c>
    </row>
    <row r="54" spans="1:3" x14ac:dyDescent="0.25">
      <c r="A54" s="30">
        <v>3.4444444444444446</v>
      </c>
      <c r="B54" s="30">
        <v>1.7777777777777779</v>
      </c>
      <c r="C54" s="30">
        <f t="shared" si="0"/>
        <v>0.26111111111111113</v>
      </c>
    </row>
    <row r="55" spans="1:3" x14ac:dyDescent="0.25">
      <c r="A55" s="30">
        <v>0</v>
      </c>
      <c r="B55" s="30">
        <v>0</v>
      </c>
      <c r="C55" s="30">
        <f t="shared" si="0"/>
        <v>0</v>
      </c>
    </row>
    <row r="56" spans="1:3" x14ac:dyDescent="0.25">
      <c r="A56" s="30">
        <v>0</v>
      </c>
      <c r="B56" s="30">
        <v>0</v>
      </c>
      <c r="C56" s="30">
        <f t="shared" si="0"/>
        <v>0</v>
      </c>
    </row>
    <row r="57" spans="1:3" x14ac:dyDescent="0.25">
      <c r="A57" s="30">
        <v>3.6388888888888888</v>
      </c>
      <c r="B57" s="30">
        <v>4.8611111111111107</v>
      </c>
      <c r="C57" s="30">
        <f t="shared" si="0"/>
        <v>0.42500000000000004</v>
      </c>
    </row>
    <row r="58" spans="1:3" x14ac:dyDescent="0.25">
      <c r="A58" s="30">
        <v>4.5</v>
      </c>
      <c r="B58" s="30">
        <v>2.9444444444444446</v>
      </c>
      <c r="C58" s="30">
        <f t="shared" si="0"/>
        <v>0.37222222222222223</v>
      </c>
    </row>
    <row r="59" spans="1:3" x14ac:dyDescent="0.25">
      <c r="A59" s="30">
        <v>0</v>
      </c>
      <c r="B59" s="30">
        <v>1.8611111111111112</v>
      </c>
      <c r="C59" s="30">
        <f t="shared" si="0"/>
        <v>9.3055555555555558E-2</v>
      </c>
    </row>
    <row r="60" spans="1:3" x14ac:dyDescent="0.25">
      <c r="A60" s="30">
        <v>1.1111111111111112</v>
      </c>
      <c r="B60" s="30">
        <v>1.1666666666666667</v>
      </c>
      <c r="C60" s="30">
        <f t="shared" si="0"/>
        <v>0.11388888888888889</v>
      </c>
    </row>
    <row r="61" spans="1:3" x14ac:dyDescent="0.25">
      <c r="A61" s="30">
        <v>0</v>
      </c>
      <c r="B61" s="30">
        <v>0</v>
      </c>
      <c r="C61" s="30">
        <f t="shared" si="0"/>
        <v>0</v>
      </c>
    </row>
    <row r="62" spans="1:3" x14ac:dyDescent="0.25">
      <c r="A62" s="30">
        <v>0</v>
      </c>
      <c r="B62" s="30">
        <v>0</v>
      </c>
      <c r="C62" s="30">
        <f t="shared" si="0"/>
        <v>0</v>
      </c>
    </row>
    <row r="63" spans="1:3" x14ac:dyDescent="0.25">
      <c r="A63" s="30">
        <v>0</v>
      </c>
      <c r="B63" s="30">
        <v>0.47222222222222227</v>
      </c>
      <c r="C63" s="30">
        <f t="shared" si="0"/>
        <v>2.3611111111111114E-2</v>
      </c>
    </row>
    <row r="64" spans="1:3" x14ac:dyDescent="0.25">
      <c r="A64" s="30">
        <v>4.7222222222222223</v>
      </c>
      <c r="B64" s="30">
        <v>5.8055555555555562</v>
      </c>
      <c r="C64" s="30">
        <f t="shared" si="0"/>
        <v>0.52638888888888891</v>
      </c>
    </row>
    <row r="65" spans="1:3" x14ac:dyDescent="0.25">
      <c r="A65" s="30">
        <v>0.77777777777777779</v>
      </c>
      <c r="B65" s="30">
        <v>0.30555555555555558</v>
      </c>
      <c r="C65" s="30">
        <f t="shared" si="0"/>
        <v>5.4166666666666675E-2</v>
      </c>
    </row>
    <row r="66" spans="1:3" x14ac:dyDescent="0.25">
      <c r="A66" s="30">
        <v>1.4166666666666667</v>
      </c>
      <c r="B66" s="30">
        <v>2.3611111111111112</v>
      </c>
      <c r="C66" s="30">
        <f t="shared" si="0"/>
        <v>0.18888888888888888</v>
      </c>
    </row>
    <row r="67" spans="1:3" x14ac:dyDescent="0.25">
      <c r="A67" s="30">
        <v>1</v>
      </c>
      <c r="B67" s="30">
        <v>2.8333333333333335</v>
      </c>
      <c r="C67" s="30">
        <f t="shared" ref="C67:C130" si="1">((A67+B67)/2)*0.1</f>
        <v>0.19166666666666668</v>
      </c>
    </row>
    <row r="68" spans="1:3" x14ac:dyDescent="0.25">
      <c r="A68" s="30">
        <v>3.3055555555555558</v>
      </c>
      <c r="B68" s="30">
        <v>4.75</v>
      </c>
      <c r="C68" s="30">
        <f t="shared" si="1"/>
        <v>0.40277777777777779</v>
      </c>
    </row>
    <row r="69" spans="1:3" x14ac:dyDescent="0.25">
      <c r="A69" s="30">
        <v>1</v>
      </c>
      <c r="B69" s="30">
        <v>2.25</v>
      </c>
      <c r="C69" s="30">
        <f t="shared" si="1"/>
        <v>0.16250000000000001</v>
      </c>
    </row>
    <row r="70" spans="1:3" x14ac:dyDescent="0.25">
      <c r="A70" s="30">
        <v>4.5555555555555562</v>
      </c>
      <c r="B70" s="30">
        <v>5.9722222222222223</v>
      </c>
      <c r="C70" s="30">
        <f t="shared" si="1"/>
        <v>0.52638888888888891</v>
      </c>
    </row>
    <row r="71" spans="1:3" x14ac:dyDescent="0.25">
      <c r="A71" s="30">
        <v>2.666666666666667</v>
      </c>
      <c r="B71" s="30">
        <v>0.97222222222222232</v>
      </c>
      <c r="C71" s="30">
        <f t="shared" si="1"/>
        <v>0.18194444444444446</v>
      </c>
    </row>
    <row r="72" spans="1:3" x14ac:dyDescent="0.25">
      <c r="A72" s="30">
        <v>2.9444444444444446</v>
      </c>
      <c r="B72" s="30">
        <v>7.4722222222222232</v>
      </c>
      <c r="C72" s="30">
        <f t="shared" si="1"/>
        <v>0.52083333333333337</v>
      </c>
    </row>
    <row r="73" spans="1:3" x14ac:dyDescent="0.25">
      <c r="A73" s="30">
        <v>0</v>
      </c>
      <c r="B73" s="30">
        <v>6.4722222222222232</v>
      </c>
      <c r="C73" s="30">
        <f t="shared" si="1"/>
        <v>0.32361111111111118</v>
      </c>
    </row>
    <row r="74" spans="1:3" x14ac:dyDescent="0.25">
      <c r="A74" s="30">
        <v>7.1666666666666679</v>
      </c>
      <c r="B74" s="30">
        <v>2.666666666666667</v>
      </c>
      <c r="C74" s="30">
        <f t="shared" si="1"/>
        <v>0.49166666666666681</v>
      </c>
    </row>
    <row r="75" spans="1:3" x14ac:dyDescent="0.25">
      <c r="A75" s="30">
        <v>5.3333333333333339</v>
      </c>
      <c r="B75" s="30">
        <v>6.333333333333333</v>
      </c>
      <c r="C75" s="30">
        <f t="shared" si="1"/>
        <v>0.58333333333333337</v>
      </c>
    </row>
    <row r="76" spans="1:3" x14ac:dyDescent="0.25">
      <c r="A76" s="30">
        <v>3.0277777777777777</v>
      </c>
      <c r="B76" s="30">
        <v>0.97222222222222232</v>
      </c>
      <c r="C76" s="30">
        <f t="shared" si="1"/>
        <v>0.2</v>
      </c>
    </row>
    <row r="77" spans="1:3" x14ac:dyDescent="0.25">
      <c r="A77" s="30">
        <v>4.7777777777777777</v>
      </c>
      <c r="B77" s="30">
        <v>4.6944444444444446</v>
      </c>
      <c r="C77" s="30">
        <f t="shared" si="1"/>
        <v>0.47361111111111109</v>
      </c>
    </row>
    <row r="78" spans="1:3" x14ac:dyDescent="0.25">
      <c r="A78" s="30">
        <v>0</v>
      </c>
      <c r="B78" s="30">
        <v>3.2222222222222223</v>
      </c>
      <c r="C78" s="30">
        <f t="shared" si="1"/>
        <v>0.16111111111111112</v>
      </c>
    </row>
    <row r="79" spans="1:3" x14ac:dyDescent="0.25">
      <c r="A79" s="30">
        <v>5.5555555555555562</v>
      </c>
      <c r="B79" s="30">
        <v>7.5</v>
      </c>
      <c r="C79" s="30">
        <f t="shared" si="1"/>
        <v>0.6527777777777779</v>
      </c>
    </row>
    <row r="80" spans="1:3" x14ac:dyDescent="0.25">
      <c r="A80" s="30">
        <v>3.3055555555555558</v>
      </c>
      <c r="B80" s="30">
        <v>2.8333333333333335</v>
      </c>
      <c r="C80" s="30">
        <f t="shared" si="1"/>
        <v>0.30694444444444446</v>
      </c>
    </row>
    <row r="81" spans="1:3" x14ac:dyDescent="0.25">
      <c r="A81" s="30">
        <v>8.2777777777777768</v>
      </c>
      <c r="B81" s="30">
        <v>0</v>
      </c>
      <c r="C81" s="30">
        <f t="shared" si="1"/>
        <v>0.41388888888888886</v>
      </c>
    </row>
    <row r="82" spans="1:3" x14ac:dyDescent="0.25">
      <c r="A82" s="30">
        <v>3.3888888888888893</v>
      </c>
      <c r="B82" s="30">
        <v>0</v>
      </c>
      <c r="C82" s="30">
        <f t="shared" si="1"/>
        <v>0.16944444444444448</v>
      </c>
    </row>
    <row r="83" spans="1:3" x14ac:dyDescent="0.25">
      <c r="A83" s="30">
        <v>0</v>
      </c>
      <c r="B83" s="30">
        <v>7.7777777777777786</v>
      </c>
      <c r="C83" s="30">
        <f t="shared" si="1"/>
        <v>0.38888888888888895</v>
      </c>
    </row>
    <row r="84" spans="1:3" x14ac:dyDescent="0.25">
      <c r="A84" s="30">
        <v>0</v>
      </c>
      <c r="B84" s="30">
        <v>2.0555555555555554</v>
      </c>
      <c r="C84" s="30">
        <f t="shared" si="1"/>
        <v>0.10277777777777777</v>
      </c>
    </row>
    <row r="85" spans="1:3" x14ac:dyDescent="0.25">
      <c r="A85" s="30">
        <v>9.5</v>
      </c>
      <c r="B85" s="30">
        <v>0</v>
      </c>
      <c r="C85" s="30">
        <f t="shared" si="1"/>
        <v>0.47500000000000003</v>
      </c>
    </row>
    <row r="86" spans="1:3" x14ac:dyDescent="0.25">
      <c r="A86" s="30">
        <v>3.5555555555555558</v>
      </c>
      <c r="B86" s="30">
        <v>6.6666666666666661</v>
      </c>
      <c r="C86" s="30">
        <f t="shared" si="1"/>
        <v>0.51111111111111107</v>
      </c>
    </row>
    <row r="87" spans="1:3" x14ac:dyDescent="0.25">
      <c r="A87" s="30">
        <v>0</v>
      </c>
      <c r="B87" s="30">
        <v>2.166666666666667</v>
      </c>
      <c r="C87" s="30">
        <f t="shared" si="1"/>
        <v>0.10833333333333335</v>
      </c>
    </row>
    <row r="88" spans="1:3" x14ac:dyDescent="0.25">
      <c r="A88" s="30">
        <v>6.333333333333333</v>
      </c>
      <c r="B88" s="30">
        <v>0.25</v>
      </c>
      <c r="C88" s="30">
        <f t="shared" si="1"/>
        <v>0.32916666666666666</v>
      </c>
    </row>
    <row r="89" spans="1:3" x14ac:dyDescent="0.25">
      <c r="A89" s="30">
        <v>0</v>
      </c>
      <c r="B89" s="30">
        <v>8.5555555555555554</v>
      </c>
      <c r="C89" s="30">
        <f t="shared" si="1"/>
        <v>0.42777777777777781</v>
      </c>
    </row>
    <row r="90" spans="1:3" x14ac:dyDescent="0.25">
      <c r="A90" s="30">
        <v>0</v>
      </c>
      <c r="B90" s="30">
        <v>6.0277777777777777</v>
      </c>
      <c r="C90" s="30">
        <f t="shared" si="1"/>
        <v>0.30138888888888893</v>
      </c>
    </row>
    <row r="91" spans="1:3" x14ac:dyDescent="0.25">
      <c r="A91" s="30">
        <v>8.0555555555555554</v>
      </c>
      <c r="B91" s="30">
        <v>4.6111111111111116</v>
      </c>
      <c r="C91" s="30">
        <f t="shared" si="1"/>
        <v>0.63333333333333341</v>
      </c>
    </row>
    <row r="92" spans="1:3" x14ac:dyDescent="0.25">
      <c r="A92" s="30">
        <v>3.8611111111111116</v>
      </c>
      <c r="B92" s="30">
        <v>0</v>
      </c>
      <c r="C92" s="30">
        <f t="shared" si="1"/>
        <v>0.19305555555555559</v>
      </c>
    </row>
    <row r="93" spans="1:3" x14ac:dyDescent="0.25">
      <c r="A93" s="30">
        <v>3.0555555555555558</v>
      </c>
      <c r="B93" s="30">
        <v>4.583333333333333</v>
      </c>
      <c r="C93" s="30">
        <f t="shared" si="1"/>
        <v>0.38194444444444448</v>
      </c>
    </row>
    <row r="94" spans="1:3" x14ac:dyDescent="0.25">
      <c r="A94" s="30">
        <v>0</v>
      </c>
      <c r="B94" s="30">
        <v>0</v>
      </c>
      <c r="C94" s="30">
        <f t="shared" si="1"/>
        <v>0</v>
      </c>
    </row>
    <row r="95" spans="1:3" x14ac:dyDescent="0.25">
      <c r="A95" s="30">
        <v>3.1388888888888893</v>
      </c>
      <c r="B95" s="30">
        <v>4.3611111111111116</v>
      </c>
      <c r="C95" s="30">
        <f t="shared" si="1"/>
        <v>0.37500000000000006</v>
      </c>
    </row>
    <row r="96" spans="1:3" x14ac:dyDescent="0.25">
      <c r="A96" s="30">
        <v>0</v>
      </c>
      <c r="B96" s="30">
        <v>3.3611111111111116</v>
      </c>
      <c r="C96" s="30">
        <f t="shared" si="1"/>
        <v>0.1680555555555556</v>
      </c>
    </row>
    <row r="97" spans="1:3" x14ac:dyDescent="0.25">
      <c r="A97" s="30">
        <v>5.1388888888888893</v>
      </c>
      <c r="B97" s="30">
        <v>0</v>
      </c>
      <c r="C97" s="30">
        <f t="shared" si="1"/>
        <v>0.25694444444444448</v>
      </c>
    </row>
    <row r="98" spans="1:3" x14ac:dyDescent="0.25">
      <c r="A98" s="30">
        <v>2.1944444444444442</v>
      </c>
      <c r="B98" s="30">
        <v>0</v>
      </c>
      <c r="C98" s="30">
        <f t="shared" si="1"/>
        <v>0.10972222222222222</v>
      </c>
    </row>
    <row r="99" spans="1:3" x14ac:dyDescent="0.25">
      <c r="A99" s="30">
        <v>0</v>
      </c>
      <c r="B99" s="30">
        <v>0</v>
      </c>
      <c r="C99" s="30">
        <f t="shared" si="1"/>
        <v>0</v>
      </c>
    </row>
    <row r="100" spans="1:3" x14ac:dyDescent="0.25">
      <c r="A100" s="30">
        <v>0</v>
      </c>
      <c r="B100" s="30">
        <v>0</v>
      </c>
      <c r="C100" s="30">
        <f t="shared" si="1"/>
        <v>0</v>
      </c>
    </row>
    <row r="101" spans="1:3" x14ac:dyDescent="0.25">
      <c r="A101" s="30">
        <v>1.8333333333333333</v>
      </c>
      <c r="B101" s="30">
        <v>0</v>
      </c>
      <c r="C101" s="30">
        <f t="shared" si="1"/>
        <v>9.1666666666666674E-2</v>
      </c>
    </row>
    <row r="102" spans="1:3" x14ac:dyDescent="0.25">
      <c r="A102" s="30">
        <v>0</v>
      </c>
      <c r="B102" s="30">
        <v>0</v>
      </c>
      <c r="C102" s="30">
        <f t="shared" si="1"/>
        <v>0</v>
      </c>
    </row>
    <row r="103" spans="1:3" x14ac:dyDescent="0.25">
      <c r="A103" s="30">
        <v>0</v>
      </c>
      <c r="B103" s="30">
        <v>0</v>
      </c>
      <c r="C103" s="30">
        <f t="shared" si="1"/>
        <v>0</v>
      </c>
    </row>
    <row r="104" spans="1:3" x14ac:dyDescent="0.25">
      <c r="A104" s="30">
        <v>0</v>
      </c>
      <c r="B104" s="30">
        <v>0</v>
      </c>
      <c r="C104" s="30">
        <f t="shared" si="1"/>
        <v>0</v>
      </c>
    </row>
    <row r="105" spans="1:3" x14ac:dyDescent="0.25">
      <c r="A105" s="30">
        <v>0</v>
      </c>
      <c r="B105" s="30">
        <v>0</v>
      </c>
      <c r="C105" s="30">
        <f t="shared" si="1"/>
        <v>0</v>
      </c>
    </row>
    <row r="106" spans="1:3" x14ac:dyDescent="0.25">
      <c r="A106" s="30">
        <v>0</v>
      </c>
      <c r="B106" s="30">
        <v>0</v>
      </c>
      <c r="C106" s="30">
        <f t="shared" si="1"/>
        <v>0</v>
      </c>
    </row>
    <row r="107" spans="1:3" x14ac:dyDescent="0.25">
      <c r="A107" s="30">
        <v>0</v>
      </c>
      <c r="B107" s="30">
        <v>0</v>
      </c>
      <c r="C107" s="30">
        <f t="shared" si="1"/>
        <v>0</v>
      </c>
    </row>
    <row r="108" spans="1:3" x14ac:dyDescent="0.25">
      <c r="A108" s="30">
        <v>0</v>
      </c>
      <c r="B108" s="30">
        <v>0</v>
      </c>
      <c r="C108" s="30">
        <f t="shared" si="1"/>
        <v>0</v>
      </c>
    </row>
    <row r="109" spans="1:3" x14ac:dyDescent="0.25">
      <c r="A109" s="30">
        <v>0</v>
      </c>
      <c r="B109" s="30">
        <v>0</v>
      </c>
      <c r="C109" s="30">
        <f t="shared" si="1"/>
        <v>0</v>
      </c>
    </row>
    <row r="110" spans="1:3" x14ac:dyDescent="0.25">
      <c r="A110" s="30">
        <v>0</v>
      </c>
      <c r="B110" s="30">
        <v>0</v>
      </c>
      <c r="C110" s="30">
        <f t="shared" si="1"/>
        <v>0</v>
      </c>
    </row>
    <row r="111" spans="1:3" x14ac:dyDescent="0.25">
      <c r="A111" s="30">
        <v>0</v>
      </c>
      <c r="B111" s="30">
        <v>0</v>
      </c>
      <c r="C111" s="30">
        <f t="shared" si="1"/>
        <v>0</v>
      </c>
    </row>
    <row r="112" spans="1:3" x14ac:dyDescent="0.25">
      <c r="A112" s="30">
        <v>0</v>
      </c>
      <c r="B112" s="30">
        <v>0</v>
      </c>
      <c r="C112" s="30">
        <f t="shared" si="1"/>
        <v>0</v>
      </c>
    </row>
    <row r="113" spans="1:3" x14ac:dyDescent="0.25">
      <c r="A113" s="30">
        <v>0</v>
      </c>
      <c r="B113" s="30">
        <v>0</v>
      </c>
      <c r="C113" s="30">
        <f t="shared" si="1"/>
        <v>0</v>
      </c>
    </row>
    <row r="114" spans="1:3" x14ac:dyDescent="0.25">
      <c r="A114" s="30">
        <v>0</v>
      </c>
      <c r="B114" s="30">
        <v>0</v>
      </c>
      <c r="C114" s="30">
        <f t="shared" si="1"/>
        <v>0</v>
      </c>
    </row>
    <row r="115" spans="1:3" x14ac:dyDescent="0.25">
      <c r="A115" s="30">
        <v>0</v>
      </c>
      <c r="B115" s="30">
        <v>0</v>
      </c>
      <c r="C115" s="30">
        <f t="shared" si="1"/>
        <v>0</v>
      </c>
    </row>
    <row r="116" spans="1:3" x14ac:dyDescent="0.25">
      <c r="A116" s="30">
        <v>0</v>
      </c>
      <c r="B116" s="30">
        <v>0</v>
      </c>
      <c r="C116" s="30">
        <f t="shared" si="1"/>
        <v>0</v>
      </c>
    </row>
    <row r="117" spans="1:3" x14ac:dyDescent="0.25">
      <c r="A117" s="30">
        <v>0</v>
      </c>
      <c r="B117" s="30">
        <v>0</v>
      </c>
      <c r="C117" s="30">
        <f t="shared" si="1"/>
        <v>0</v>
      </c>
    </row>
    <row r="118" spans="1:3" x14ac:dyDescent="0.25">
      <c r="A118" s="30">
        <v>0</v>
      </c>
      <c r="B118" s="30">
        <v>0</v>
      </c>
      <c r="C118" s="30">
        <f t="shared" si="1"/>
        <v>0</v>
      </c>
    </row>
    <row r="119" spans="1:3" x14ac:dyDescent="0.25">
      <c r="A119" s="30">
        <v>0</v>
      </c>
      <c r="B119" s="30">
        <v>0</v>
      </c>
      <c r="C119" s="30">
        <f t="shared" si="1"/>
        <v>0</v>
      </c>
    </row>
    <row r="120" spans="1:3" x14ac:dyDescent="0.25">
      <c r="A120" s="30">
        <v>0</v>
      </c>
      <c r="B120" s="30">
        <v>3.8055555555555558</v>
      </c>
      <c r="C120" s="30">
        <f t="shared" si="1"/>
        <v>0.1902777777777778</v>
      </c>
    </row>
    <row r="121" spans="1:3" x14ac:dyDescent="0.25">
      <c r="A121" s="30">
        <v>0</v>
      </c>
      <c r="B121" s="30">
        <v>0</v>
      </c>
      <c r="C121" s="30">
        <f t="shared" si="1"/>
        <v>0</v>
      </c>
    </row>
    <row r="122" spans="1:3" x14ac:dyDescent="0.25">
      <c r="A122" s="30">
        <v>0</v>
      </c>
      <c r="B122" s="30">
        <v>0</v>
      </c>
      <c r="C122" s="30">
        <f t="shared" si="1"/>
        <v>0</v>
      </c>
    </row>
    <row r="123" spans="1:3" x14ac:dyDescent="0.25">
      <c r="A123" s="30">
        <v>1.6111111111111112</v>
      </c>
      <c r="B123" s="30">
        <v>0</v>
      </c>
      <c r="C123" s="30">
        <f t="shared" si="1"/>
        <v>8.0555555555555561E-2</v>
      </c>
    </row>
    <row r="124" spans="1:3" x14ac:dyDescent="0.25">
      <c r="A124" s="30">
        <v>0</v>
      </c>
      <c r="B124" s="30">
        <v>0</v>
      </c>
      <c r="C124" s="30">
        <f t="shared" si="1"/>
        <v>0</v>
      </c>
    </row>
    <row r="125" spans="1:3" x14ac:dyDescent="0.25">
      <c r="A125" s="30">
        <v>0</v>
      </c>
      <c r="B125" s="30">
        <v>0</v>
      </c>
      <c r="C125" s="30">
        <f t="shared" si="1"/>
        <v>0</v>
      </c>
    </row>
    <row r="126" spans="1:3" x14ac:dyDescent="0.25">
      <c r="A126" s="30">
        <v>0</v>
      </c>
      <c r="B126" s="30">
        <v>0</v>
      </c>
      <c r="C126" s="30">
        <f t="shared" si="1"/>
        <v>0</v>
      </c>
    </row>
    <row r="127" spans="1:3" x14ac:dyDescent="0.25">
      <c r="A127" s="30">
        <v>0</v>
      </c>
      <c r="B127" s="30">
        <v>0</v>
      </c>
      <c r="C127" s="30">
        <f t="shared" si="1"/>
        <v>0</v>
      </c>
    </row>
    <row r="128" spans="1:3" x14ac:dyDescent="0.25">
      <c r="A128" s="30">
        <v>0</v>
      </c>
      <c r="B128" s="30">
        <v>0.55555555555555558</v>
      </c>
      <c r="C128" s="30">
        <f t="shared" si="1"/>
        <v>2.777777777777778E-2</v>
      </c>
    </row>
    <row r="129" spans="1:3" x14ac:dyDescent="0.25">
      <c r="A129" s="30">
        <v>0</v>
      </c>
      <c r="B129" s="30">
        <v>2.5277777777777781</v>
      </c>
      <c r="C129" s="30">
        <f t="shared" si="1"/>
        <v>0.12638888888888891</v>
      </c>
    </row>
    <row r="130" spans="1:3" x14ac:dyDescent="0.25">
      <c r="A130" s="30">
        <v>0</v>
      </c>
      <c r="B130" s="30">
        <v>0</v>
      </c>
      <c r="C130" s="30">
        <f t="shared" si="1"/>
        <v>0</v>
      </c>
    </row>
    <row r="131" spans="1:3" x14ac:dyDescent="0.25">
      <c r="A131" s="30">
        <v>0</v>
      </c>
      <c r="B131" s="30">
        <v>5.5555555555555562</v>
      </c>
      <c r="C131" s="30">
        <f t="shared" ref="C131:C194" si="2">((A131+B131)/2)*0.1</f>
        <v>0.27777777777777785</v>
      </c>
    </row>
    <row r="132" spans="1:3" x14ac:dyDescent="0.25">
      <c r="A132" s="30">
        <v>0</v>
      </c>
      <c r="B132" s="30">
        <v>6.083333333333333</v>
      </c>
      <c r="C132" s="30">
        <f t="shared" si="2"/>
        <v>0.3041666666666667</v>
      </c>
    </row>
    <row r="133" spans="1:3" x14ac:dyDescent="0.25">
      <c r="A133" s="30">
        <v>0</v>
      </c>
      <c r="B133" s="30">
        <v>4.25</v>
      </c>
      <c r="C133" s="30">
        <f t="shared" si="2"/>
        <v>0.21250000000000002</v>
      </c>
    </row>
    <row r="134" spans="1:3" x14ac:dyDescent="0.25">
      <c r="A134" s="30">
        <v>6.4166666666666679</v>
      </c>
      <c r="B134" s="30">
        <v>4.0277777777777777</v>
      </c>
      <c r="C134" s="30">
        <f t="shared" si="2"/>
        <v>0.52222222222222237</v>
      </c>
    </row>
    <row r="135" spans="1:3" x14ac:dyDescent="0.25">
      <c r="A135" s="30">
        <v>5.5833333333333339</v>
      </c>
      <c r="B135" s="30">
        <v>4.0555555555555562</v>
      </c>
      <c r="C135" s="30">
        <f t="shared" si="2"/>
        <v>0.48194444444444451</v>
      </c>
    </row>
    <row r="136" spans="1:3" x14ac:dyDescent="0.25">
      <c r="A136" s="30">
        <v>3.2222222222222223</v>
      </c>
      <c r="B136" s="30">
        <v>3.0833333333333339</v>
      </c>
      <c r="C136" s="30">
        <f t="shared" si="2"/>
        <v>0.31527777777777782</v>
      </c>
    </row>
    <row r="137" spans="1:3" x14ac:dyDescent="0.25">
      <c r="A137" s="30">
        <v>4</v>
      </c>
      <c r="B137" s="30">
        <v>5</v>
      </c>
      <c r="C137" s="30">
        <f t="shared" si="2"/>
        <v>0.45</v>
      </c>
    </row>
    <row r="138" spans="1:3" x14ac:dyDescent="0.25">
      <c r="A138" s="30">
        <v>4.7222222222222223</v>
      </c>
      <c r="B138" s="30">
        <v>4.583333333333333</v>
      </c>
      <c r="C138" s="30">
        <f t="shared" si="2"/>
        <v>0.46527777777777779</v>
      </c>
    </row>
    <row r="139" spans="1:3" x14ac:dyDescent="0.25">
      <c r="A139" s="30">
        <v>9.3888888888888893</v>
      </c>
      <c r="B139" s="30">
        <v>4.6944444444444446</v>
      </c>
      <c r="C139" s="30">
        <f t="shared" si="2"/>
        <v>0.70416666666666672</v>
      </c>
    </row>
    <row r="140" spans="1:3" x14ac:dyDescent="0.25">
      <c r="A140" s="30">
        <v>2.8333333333333335</v>
      </c>
      <c r="B140" s="30">
        <v>7.0555555555555562</v>
      </c>
      <c r="C140" s="30">
        <f t="shared" si="2"/>
        <v>0.49444444444444446</v>
      </c>
    </row>
    <row r="141" spans="1:3" x14ac:dyDescent="0.25">
      <c r="A141" s="30">
        <v>4.3888888888888884</v>
      </c>
      <c r="B141" s="30">
        <v>6.2222222222222223</v>
      </c>
      <c r="C141" s="30">
        <f t="shared" si="2"/>
        <v>0.53055555555555556</v>
      </c>
    </row>
    <row r="142" spans="1:3" x14ac:dyDescent="0.25">
      <c r="A142" s="30">
        <v>2.3333333333333335</v>
      </c>
      <c r="B142" s="30">
        <v>7.3888888888888893</v>
      </c>
      <c r="C142" s="30">
        <f t="shared" si="2"/>
        <v>0.48611111111111116</v>
      </c>
    </row>
    <row r="143" spans="1:3" x14ac:dyDescent="0.25">
      <c r="A143" s="30">
        <v>4.6388888888888893</v>
      </c>
      <c r="B143" s="30">
        <v>3.3611111111111116</v>
      </c>
      <c r="C143" s="30">
        <f t="shared" si="2"/>
        <v>0.4</v>
      </c>
    </row>
    <row r="144" spans="1:3" x14ac:dyDescent="0.25">
      <c r="A144" s="30">
        <v>8.9166666666666679</v>
      </c>
      <c r="B144" s="30">
        <v>5.3333333333333339</v>
      </c>
      <c r="C144" s="30">
        <f t="shared" si="2"/>
        <v>0.71250000000000013</v>
      </c>
    </row>
    <row r="145" spans="1:3" x14ac:dyDescent="0.25">
      <c r="A145" s="30">
        <v>6.4166666666666679</v>
      </c>
      <c r="B145" s="30">
        <v>3.5555555555555558</v>
      </c>
      <c r="C145" s="30">
        <f t="shared" si="2"/>
        <v>0.49861111111111117</v>
      </c>
    </row>
    <row r="146" spans="1:3" x14ac:dyDescent="0.25">
      <c r="A146" s="30">
        <v>2.8888888888888888</v>
      </c>
      <c r="B146" s="30">
        <v>3.0555555555555558</v>
      </c>
      <c r="C146" s="30">
        <f t="shared" si="2"/>
        <v>0.29722222222222222</v>
      </c>
    </row>
    <row r="147" spans="1:3" x14ac:dyDescent="0.25">
      <c r="A147" s="30">
        <v>4.9444444444444446</v>
      </c>
      <c r="B147" s="30">
        <v>4.8055555555555562</v>
      </c>
      <c r="C147" s="30">
        <f t="shared" si="2"/>
        <v>0.48750000000000004</v>
      </c>
    </row>
    <row r="148" spans="1:3" x14ac:dyDescent="0.25">
      <c r="A148" s="30">
        <v>4.0833333333333339</v>
      </c>
      <c r="B148" s="30">
        <v>4.3333333333333339</v>
      </c>
      <c r="C148" s="30">
        <f t="shared" si="2"/>
        <v>0.42083333333333339</v>
      </c>
    </row>
    <row r="149" spans="1:3" x14ac:dyDescent="0.25">
      <c r="A149" s="30">
        <v>1.6944444444444446</v>
      </c>
      <c r="B149" s="30">
        <v>6.3611111111111107</v>
      </c>
      <c r="C149" s="30">
        <f t="shared" si="2"/>
        <v>0.40277777777777779</v>
      </c>
    </row>
    <row r="150" spans="1:3" x14ac:dyDescent="0.25">
      <c r="A150" s="30">
        <v>2.8611111111111112</v>
      </c>
      <c r="B150" s="30">
        <v>3.75</v>
      </c>
      <c r="C150" s="30">
        <f t="shared" si="2"/>
        <v>0.33055555555555555</v>
      </c>
    </row>
    <row r="151" spans="1:3" x14ac:dyDescent="0.25">
      <c r="A151" s="30">
        <v>3.75</v>
      </c>
      <c r="B151" s="30">
        <v>4.916666666666667</v>
      </c>
      <c r="C151" s="30">
        <f t="shared" si="2"/>
        <v>0.4333333333333334</v>
      </c>
    </row>
    <row r="152" spans="1:3" x14ac:dyDescent="0.25">
      <c r="A152" s="30">
        <v>4.666666666666667</v>
      </c>
      <c r="B152" s="30">
        <v>6.1666666666666679</v>
      </c>
      <c r="C152" s="30">
        <f t="shared" si="2"/>
        <v>0.54166666666666685</v>
      </c>
    </row>
    <row r="153" spans="1:3" x14ac:dyDescent="0.25">
      <c r="A153" s="30">
        <v>0.58333333333333337</v>
      </c>
      <c r="B153" s="30">
        <v>5.75</v>
      </c>
      <c r="C153" s="30">
        <f t="shared" si="2"/>
        <v>0.31666666666666665</v>
      </c>
    </row>
    <row r="154" spans="1:3" x14ac:dyDescent="0.25">
      <c r="A154" s="30">
        <v>6.4722222222222232</v>
      </c>
      <c r="B154" s="30">
        <v>4.8055555555555562</v>
      </c>
      <c r="C154" s="30">
        <f t="shared" si="2"/>
        <v>0.56388888888888899</v>
      </c>
    </row>
    <row r="155" spans="1:3" x14ac:dyDescent="0.25">
      <c r="A155" s="30">
        <v>4.2777777777777777</v>
      </c>
      <c r="B155" s="30">
        <v>4.9722222222222223</v>
      </c>
      <c r="C155" s="30">
        <f t="shared" si="2"/>
        <v>0.46250000000000002</v>
      </c>
    </row>
    <row r="156" spans="1:3" x14ac:dyDescent="0.25">
      <c r="A156" s="30">
        <v>5.75</v>
      </c>
      <c r="B156" s="30">
        <v>6.2222222222222223</v>
      </c>
      <c r="C156" s="30">
        <f t="shared" si="2"/>
        <v>0.59861111111111109</v>
      </c>
    </row>
    <row r="157" spans="1:3" x14ac:dyDescent="0.25">
      <c r="A157" s="30">
        <v>6.3611111111111107</v>
      </c>
      <c r="B157" s="30">
        <v>6.083333333333333</v>
      </c>
      <c r="C157" s="30">
        <f t="shared" si="2"/>
        <v>0.62222222222222223</v>
      </c>
    </row>
    <row r="158" spans="1:3" x14ac:dyDescent="0.25">
      <c r="A158" s="30">
        <v>4.4722222222222223</v>
      </c>
      <c r="B158" s="30">
        <v>1.0555555555555556</v>
      </c>
      <c r="C158" s="30">
        <f t="shared" si="2"/>
        <v>0.27638888888888891</v>
      </c>
    </row>
    <row r="159" spans="1:3" x14ac:dyDescent="0.25">
      <c r="A159" s="30">
        <v>6.75</v>
      </c>
      <c r="B159" s="30">
        <v>4.9444444444444446</v>
      </c>
      <c r="C159" s="30">
        <f t="shared" si="2"/>
        <v>0.58472222222222225</v>
      </c>
    </row>
    <row r="160" spans="1:3" x14ac:dyDescent="0.25">
      <c r="A160" s="30">
        <v>4.7222222222222223</v>
      </c>
      <c r="B160" s="30">
        <v>6.1388888888888893</v>
      </c>
      <c r="C160" s="30">
        <f t="shared" si="2"/>
        <v>0.54305555555555551</v>
      </c>
    </row>
    <row r="161" spans="1:3" x14ac:dyDescent="0.25">
      <c r="A161" s="30">
        <v>4.1944444444444446</v>
      </c>
      <c r="B161" s="30">
        <v>4.4444444444444446</v>
      </c>
      <c r="C161" s="30">
        <f t="shared" si="2"/>
        <v>0.43194444444444446</v>
      </c>
    </row>
    <row r="162" spans="1:3" x14ac:dyDescent="0.25">
      <c r="A162" s="30">
        <v>4.0277777777777777</v>
      </c>
      <c r="B162" s="30">
        <v>4.7222222222222223</v>
      </c>
      <c r="C162" s="30">
        <f t="shared" si="2"/>
        <v>0.4375</v>
      </c>
    </row>
    <row r="163" spans="1:3" x14ac:dyDescent="0.25">
      <c r="A163" s="30">
        <v>5.8055555555555562</v>
      </c>
      <c r="B163" s="30">
        <v>6.4444444444444446</v>
      </c>
      <c r="C163" s="30">
        <f t="shared" si="2"/>
        <v>0.61250000000000004</v>
      </c>
    </row>
    <row r="164" spans="1:3" x14ac:dyDescent="0.25">
      <c r="A164" s="30">
        <v>5.3888888888888893</v>
      </c>
      <c r="B164" s="30">
        <v>2.666666666666667</v>
      </c>
      <c r="C164" s="30">
        <f t="shared" si="2"/>
        <v>0.4027777777777779</v>
      </c>
    </row>
    <row r="165" spans="1:3" x14ac:dyDescent="0.25">
      <c r="A165" s="30">
        <v>2.6944444444444446</v>
      </c>
      <c r="B165" s="30">
        <v>7.4166666666666679</v>
      </c>
      <c r="C165" s="30">
        <f t="shared" si="2"/>
        <v>0.50555555555555565</v>
      </c>
    </row>
    <row r="166" spans="1:3" x14ac:dyDescent="0.25">
      <c r="A166" s="30">
        <v>7.8611111111111116</v>
      </c>
      <c r="B166" s="30">
        <v>5.8055555555555562</v>
      </c>
      <c r="C166" s="30">
        <f t="shared" si="2"/>
        <v>0.68333333333333346</v>
      </c>
    </row>
    <row r="167" spans="1:3" x14ac:dyDescent="0.25">
      <c r="A167" s="30">
        <v>5.416666666666667</v>
      </c>
      <c r="B167" s="30">
        <v>4.3611111111111116</v>
      </c>
      <c r="C167" s="30">
        <f t="shared" si="2"/>
        <v>0.48888888888888893</v>
      </c>
    </row>
    <row r="168" spans="1:3" x14ac:dyDescent="0.25">
      <c r="A168" s="30">
        <v>5.7222222222222223</v>
      </c>
      <c r="B168" s="30">
        <v>5.5833333333333339</v>
      </c>
      <c r="C168" s="30">
        <f t="shared" si="2"/>
        <v>0.56527777777777788</v>
      </c>
    </row>
    <row r="169" spans="1:3" x14ac:dyDescent="0.25">
      <c r="A169" s="30">
        <v>6.3055555555555562</v>
      </c>
      <c r="B169" s="30">
        <v>4.8611111111111107</v>
      </c>
      <c r="C169" s="30">
        <f t="shared" si="2"/>
        <v>0.55833333333333346</v>
      </c>
    </row>
    <row r="170" spans="1:3" x14ac:dyDescent="0.25">
      <c r="A170" s="30">
        <v>5.1944444444444455</v>
      </c>
      <c r="B170" s="30">
        <v>4.666666666666667</v>
      </c>
      <c r="C170" s="30">
        <f t="shared" si="2"/>
        <v>0.49305555555555564</v>
      </c>
    </row>
    <row r="171" spans="1:3" x14ac:dyDescent="0.25">
      <c r="A171" s="30">
        <v>6.4722222222222232</v>
      </c>
      <c r="B171" s="30">
        <v>1.6944444444444446</v>
      </c>
      <c r="C171" s="30">
        <f t="shared" si="2"/>
        <v>0.40833333333333344</v>
      </c>
    </row>
    <row r="172" spans="1:3" x14ac:dyDescent="0.25">
      <c r="A172" s="30">
        <v>7.8055555555555562</v>
      </c>
      <c r="B172" s="30">
        <v>1</v>
      </c>
      <c r="C172" s="30">
        <f t="shared" si="2"/>
        <v>0.44027777777777788</v>
      </c>
    </row>
    <row r="173" spans="1:3" x14ac:dyDescent="0.25">
      <c r="A173" s="30">
        <v>4.8333333333333339</v>
      </c>
      <c r="B173" s="30">
        <v>0.88888888888888895</v>
      </c>
      <c r="C173" s="30">
        <f t="shared" si="2"/>
        <v>0.28611111111111115</v>
      </c>
    </row>
    <row r="174" spans="1:3" x14ac:dyDescent="0.25">
      <c r="A174" s="30">
        <v>3.1666666666666665</v>
      </c>
      <c r="B174" s="30">
        <v>0</v>
      </c>
      <c r="C174" s="30">
        <f t="shared" si="2"/>
        <v>0.15833333333333333</v>
      </c>
    </row>
    <row r="175" spans="1:3" x14ac:dyDescent="0.25">
      <c r="A175" s="30">
        <v>3.75</v>
      </c>
      <c r="B175" s="30">
        <v>3.1944444444444446</v>
      </c>
      <c r="C175" s="30">
        <f t="shared" si="2"/>
        <v>0.34722222222222227</v>
      </c>
    </row>
    <row r="176" spans="1:3" x14ac:dyDescent="0.25">
      <c r="A176" s="30">
        <v>0</v>
      </c>
      <c r="B176" s="30">
        <v>0.80555555555555558</v>
      </c>
      <c r="C176" s="30">
        <f t="shared" si="2"/>
        <v>4.027777777777778E-2</v>
      </c>
    </row>
    <row r="177" spans="1:3" x14ac:dyDescent="0.25">
      <c r="A177" s="30">
        <v>0</v>
      </c>
      <c r="B177" s="30">
        <v>2.0277777777777781</v>
      </c>
      <c r="C177" s="30">
        <f t="shared" si="2"/>
        <v>0.10138888888888892</v>
      </c>
    </row>
    <row r="178" spans="1:3" x14ac:dyDescent="0.25">
      <c r="A178" s="30">
        <v>3.5555555555555558</v>
      </c>
      <c r="B178" s="30">
        <v>2.0833333333333335</v>
      </c>
      <c r="C178" s="30">
        <f t="shared" si="2"/>
        <v>0.2819444444444445</v>
      </c>
    </row>
    <row r="179" spans="1:3" x14ac:dyDescent="0.25">
      <c r="A179" s="30">
        <v>0</v>
      </c>
      <c r="B179" s="30">
        <v>1.6111111111111112</v>
      </c>
      <c r="C179" s="30">
        <f t="shared" si="2"/>
        <v>8.0555555555555561E-2</v>
      </c>
    </row>
    <row r="180" spans="1:3" x14ac:dyDescent="0.25">
      <c r="A180" s="30">
        <v>0.69444444444444453</v>
      </c>
      <c r="B180" s="30">
        <v>8.75</v>
      </c>
      <c r="C180" s="30">
        <f t="shared" si="2"/>
        <v>0.47222222222222227</v>
      </c>
    </row>
    <row r="181" spans="1:3" x14ac:dyDescent="0.25">
      <c r="A181" s="30">
        <v>0.5</v>
      </c>
      <c r="B181" s="30">
        <v>6.5555555555555562</v>
      </c>
      <c r="C181" s="30">
        <f t="shared" si="2"/>
        <v>0.35277777777777786</v>
      </c>
    </row>
    <row r="182" spans="1:3" x14ac:dyDescent="0.25">
      <c r="A182" s="30">
        <v>0</v>
      </c>
      <c r="B182" s="30">
        <v>5.4722222222222232</v>
      </c>
      <c r="C182" s="30">
        <f t="shared" si="2"/>
        <v>0.27361111111111119</v>
      </c>
    </row>
    <row r="183" spans="1:3" x14ac:dyDescent="0.25">
      <c r="A183" s="30">
        <v>8.6944444444444446</v>
      </c>
      <c r="B183" s="30">
        <v>8.4166666666666679</v>
      </c>
      <c r="C183" s="30">
        <f t="shared" si="2"/>
        <v>0.85555555555555574</v>
      </c>
    </row>
    <row r="184" spans="1:3" x14ac:dyDescent="0.25">
      <c r="A184" s="30">
        <v>4.8888888888888893</v>
      </c>
      <c r="B184" s="30">
        <v>0</v>
      </c>
      <c r="C184" s="30">
        <f t="shared" si="2"/>
        <v>0.24444444444444446</v>
      </c>
    </row>
    <row r="185" spans="1:3" x14ac:dyDescent="0.25">
      <c r="A185" s="30">
        <v>4.5</v>
      </c>
      <c r="B185" s="30">
        <v>7.0277777777777777</v>
      </c>
      <c r="C185" s="30">
        <f t="shared" si="2"/>
        <v>0.57638888888888895</v>
      </c>
    </row>
    <row r="186" spans="1:3" x14ac:dyDescent="0.25">
      <c r="A186" s="30">
        <v>8.0555555555555554</v>
      </c>
      <c r="B186" s="30">
        <v>8.6666666666666679</v>
      </c>
      <c r="C186" s="30">
        <f t="shared" si="2"/>
        <v>0.83611111111111114</v>
      </c>
    </row>
    <row r="187" spans="1:3" x14ac:dyDescent="0.25">
      <c r="A187" s="30">
        <v>0</v>
      </c>
      <c r="B187" s="30">
        <v>7.1388888888888893</v>
      </c>
      <c r="C187" s="30">
        <f t="shared" si="2"/>
        <v>0.35694444444444451</v>
      </c>
    </row>
    <row r="188" spans="1:3" x14ac:dyDescent="0.25">
      <c r="A188" s="30">
        <v>8.5555555555555554</v>
      </c>
      <c r="B188" s="30">
        <v>8.1388888888888893</v>
      </c>
      <c r="C188" s="30">
        <f t="shared" si="2"/>
        <v>0.83472222222222214</v>
      </c>
    </row>
    <row r="189" spans="1:3" x14ac:dyDescent="0.25">
      <c r="A189" s="30">
        <v>9</v>
      </c>
      <c r="B189" s="30">
        <v>7.6388888888888893</v>
      </c>
      <c r="C189" s="30">
        <f t="shared" si="2"/>
        <v>0.83194444444444449</v>
      </c>
    </row>
    <row r="190" spans="1:3" x14ac:dyDescent="0.25">
      <c r="A190" s="30">
        <v>8.8333333333333339</v>
      </c>
      <c r="B190" s="30">
        <v>5.5555555555555562</v>
      </c>
      <c r="C190" s="30">
        <f t="shared" si="2"/>
        <v>0.71944444444444455</v>
      </c>
    </row>
    <row r="191" spans="1:3" x14ac:dyDescent="0.25">
      <c r="A191" s="30">
        <v>8.6666666666666679</v>
      </c>
      <c r="B191" s="30">
        <v>6.0555555555555554</v>
      </c>
      <c r="C191" s="30">
        <f t="shared" si="2"/>
        <v>0.73611111111111116</v>
      </c>
    </row>
    <row r="192" spans="1:3" x14ac:dyDescent="0.25">
      <c r="A192" s="30">
        <v>7.2222222222222214</v>
      </c>
      <c r="B192" s="30">
        <v>4.8055555555555562</v>
      </c>
      <c r="C192" s="30">
        <f t="shared" si="2"/>
        <v>0.60138888888888897</v>
      </c>
    </row>
    <row r="193" spans="1:3" x14ac:dyDescent="0.25">
      <c r="A193" s="30">
        <v>5.1944444444444455</v>
      </c>
      <c r="B193" s="30">
        <v>6.1944444444444446</v>
      </c>
      <c r="C193" s="30">
        <f t="shared" si="2"/>
        <v>0.56944444444444453</v>
      </c>
    </row>
    <row r="194" spans="1:3" x14ac:dyDescent="0.25">
      <c r="A194" s="30">
        <v>4.1111111111111107</v>
      </c>
      <c r="B194" s="30">
        <v>6.3611111111111107</v>
      </c>
      <c r="C194" s="30">
        <f t="shared" si="2"/>
        <v>0.52361111111111114</v>
      </c>
    </row>
    <row r="195" spans="1:3" x14ac:dyDescent="0.25">
      <c r="A195" s="30">
        <v>4.6944444444444446</v>
      </c>
      <c r="B195" s="30">
        <v>0</v>
      </c>
      <c r="C195" s="30">
        <f t="shared" ref="C195:C244" si="3">((A195+B195)/2)*0.1</f>
        <v>0.23472222222222225</v>
      </c>
    </row>
    <row r="196" spans="1:3" x14ac:dyDescent="0.25">
      <c r="A196" s="30">
        <v>7.5555555555555562</v>
      </c>
      <c r="B196" s="30">
        <v>7.6388888888888893</v>
      </c>
      <c r="C196" s="30">
        <f t="shared" si="3"/>
        <v>0.75972222222222241</v>
      </c>
    </row>
    <row r="197" spans="1:3" x14ac:dyDescent="0.25">
      <c r="A197" s="30">
        <v>8.2222222222222214</v>
      </c>
      <c r="B197" s="30">
        <v>7.1388888888888893</v>
      </c>
      <c r="C197" s="30">
        <f t="shared" si="3"/>
        <v>0.7680555555555556</v>
      </c>
    </row>
    <row r="198" spans="1:3" x14ac:dyDescent="0.25">
      <c r="A198" s="30">
        <v>0</v>
      </c>
      <c r="B198" s="30">
        <v>7.4166666666666679</v>
      </c>
      <c r="C198" s="30">
        <f t="shared" si="3"/>
        <v>0.3708333333333334</v>
      </c>
    </row>
    <row r="199" spans="1:3" x14ac:dyDescent="0.25">
      <c r="A199" s="30">
        <v>8.0833333333333339</v>
      </c>
      <c r="B199" s="30">
        <v>0</v>
      </c>
      <c r="C199" s="30">
        <f t="shared" si="3"/>
        <v>0.40416666666666673</v>
      </c>
    </row>
    <row r="200" spans="1:3" x14ac:dyDescent="0.25">
      <c r="A200" s="30">
        <v>8.1111111111111125</v>
      </c>
      <c r="B200" s="30">
        <v>8.1944444444444446</v>
      </c>
      <c r="C200" s="30">
        <f t="shared" si="3"/>
        <v>0.81527777777777788</v>
      </c>
    </row>
    <row r="201" spans="1:3" x14ac:dyDescent="0.25">
      <c r="A201" s="30">
        <v>6.833333333333333</v>
      </c>
      <c r="B201" s="30">
        <v>7.8611111111111116</v>
      </c>
      <c r="C201" s="30">
        <f t="shared" si="3"/>
        <v>0.73472222222222228</v>
      </c>
    </row>
    <row r="202" spans="1:3" x14ac:dyDescent="0.25">
      <c r="A202" s="30">
        <v>0</v>
      </c>
      <c r="B202" s="30">
        <v>0</v>
      </c>
      <c r="C202" s="30">
        <f t="shared" si="3"/>
        <v>0</v>
      </c>
    </row>
    <row r="203" spans="1:3" x14ac:dyDescent="0.25">
      <c r="A203" s="30">
        <v>8.6944444444444446</v>
      </c>
      <c r="B203" s="30">
        <v>6.1944444444444446</v>
      </c>
      <c r="C203" s="30">
        <f t="shared" si="3"/>
        <v>0.74444444444444446</v>
      </c>
    </row>
    <row r="204" spans="1:3" x14ac:dyDescent="0.25">
      <c r="A204" s="30">
        <v>7.8888888888888893</v>
      </c>
      <c r="B204" s="30">
        <v>6.583333333333333</v>
      </c>
      <c r="C204" s="30">
        <f t="shared" si="3"/>
        <v>0.72361111111111109</v>
      </c>
    </row>
    <row r="205" spans="1:3" x14ac:dyDescent="0.25">
      <c r="A205" s="30">
        <v>0</v>
      </c>
      <c r="B205" s="30">
        <v>0</v>
      </c>
      <c r="C205" s="30">
        <f t="shared" si="3"/>
        <v>0</v>
      </c>
    </row>
    <row r="206" spans="1:3" x14ac:dyDescent="0.25">
      <c r="A206" s="30">
        <v>5.916666666666667</v>
      </c>
      <c r="B206" s="30">
        <v>5.7777777777777777</v>
      </c>
      <c r="C206" s="30">
        <f t="shared" si="3"/>
        <v>0.58472222222222225</v>
      </c>
    </row>
    <row r="207" spans="1:3" x14ac:dyDescent="0.25">
      <c r="A207" s="30">
        <v>6.833333333333333</v>
      </c>
      <c r="B207" s="30">
        <v>0</v>
      </c>
      <c r="C207" s="30">
        <f t="shared" si="3"/>
        <v>0.34166666666666667</v>
      </c>
    </row>
    <row r="208" spans="1:3" x14ac:dyDescent="0.25">
      <c r="A208" s="30">
        <v>0</v>
      </c>
      <c r="B208" s="30">
        <v>5.1111111111111107</v>
      </c>
      <c r="C208" s="30">
        <f t="shared" si="3"/>
        <v>0.25555555555555554</v>
      </c>
    </row>
    <row r="209" spans="1:3" x14ac:dyDescent="0.25">
      <c r="A209" s="30">
        <v>5.5000000000000009</v>
      </c>
      <c r="B209" s="30">
        <v>7.9444444444444446</v>
      </c>
      <c r="C209" s="30">
        <f t="shared" si="3"/>
        <v>0.67222222222222239</v>
      </c>
    </row>
    <row r="210" spans="1:3" x14ac:dyDescent="0.25">
      <c r="A210" s="30">
        <v>0</v>
      </c>
      <c r="B210" s="30">
        <v>0</v>
      </c>
      <c r="C210" s="30">
        <f t="shared" si="3"/>
        <v>0</v>
      </c>
    </row>
    <row r="211" spans="1:3" x14ac:dyDescent="0.25">
      <c r="A211" s="30">
        <v>4.4444444444444446</v>
      </c>
      <c r="B211" s="30">
        <v>4.4444444444444446</v>
      </c>
      <c r="C211" s="30">
        <f t="shared" si="3"/>
        <v>0.44444444444444448</v>
      </c>
    </row>
    <row r="212" spans="1:3" x14ac:dyDescent="0.25">
      <c r="A212" s="30">
        <v>4.25</v>
      </c>
      <c r="B212" s="30">
        <v>0</v>
      </c>
      <c r="C212" s="30">
        <f t="shared" si="3"/>
        <v>0.21250000000000002</v>
      </c>
    </row>
    <row r="213" spans="1:3" x14ac:dyDescent="0.25">
      <c r="A213" s="30">
        <v>0</v>
      </c>
      <c r="B213" s="30">
        <v>7.3055555555555562</v>
      </c>
      <c r="C213" s="30">
        <f t="shared" si="3"/>
        <v>0.36527777777777781</v>
      </c>
    </row>
    <row r="214" spans="1:3" x14ac:dyDescent="0.25">
      <c r="A214" s="30">
        <v>4.0833333333333339</v>
      </c>
      <c r="B214" s="30">
        <v>7.9444444444444446</v>
      </c>
      <c r="C214" s="30">
        <f t="shared" si="3"/>
        <v>0.60138888888888897</v>
      </c>
    </row>
    <row r="215" spans="1:3" x14ac:dyDescent="0.25">
      <c r="A215" s="30">
        <v>0</v>
      </c>
      <c r="B215" s="30">
        <v>7.0555555555555562</v>
      </c>
      <c r="C215" s="30">
        <f t="shared" si="3"/>
        <v>0.35277777777777786</v>
      </c>
    </row>
    <row r="216" spans="1:3" x14ac:dyDescent="0.25">
      <c r="A216" s="30">
        <v>7.3888888888888893</v>
      </c>
      <c r="B216" s="30">
        <v>0</v>
      </c>
      <c r="C216" s="30">
        <f t="shared" si="3"/>
        <v>0.36944444444444446</v>
      </c>
    </row>
    <row r="217" spans="1:3" x14ac:dyDescent="0.25">
      <c r="A217" s="30">
        <v>5.416666666666667</v>
      </c>
      <c r="B217" s="30">
        <v>5.6388888888888893</v>
      </c>
      <c r="C217" s="30">
        <f t="shared" si="3"/>
        <v>0.55277777777777792</v>
      </c>
    </row>
    <row r="218" spans="1:3" x14ac:dyDescent="0.25">
      <c r="A218" s="30">
        <v>8.8888888888888893</v>
      </c>
      <c r="B218" s="30">
        <v>5.0277777777777786</v>
      </c>
      <c r="C218" s="30">
        <f t="shared" si="3"/>
        <v>0.69583333333333341</v>
      </c>
    </row>
    <row r="219" spans="1:3" x14ac:dyDescent="0.25">
      <c r="A219" s="30">
        <v>0</v>
      </c>
      <c r="B219" s="30">
        <v>8.9166666666666679</v>
      </c>
      <c r="C219" s="30">
        <f t="shared" si="3"/>
        <v>0.44583333333333341</v>
      </c>
    </row>
    <row r="220" spans="1:3" x14ac:dyDescent="0.25">
      <c r="A220" s="30">
        <v>5.1111111111111107</v>
      </c>
      <c r="B220" s="30">
        <v>6.8611111111111116</v>
      </c>
      <c r="C220" s="30">
        <f t="shared" si="3"/>
        <v>0.59861111111111109</v>
      </c>
    </row>
    <row r="221" spans="1:3" x14ac:dyDescent="0.25">
      <c r="A221" s="30">
        <v>5.6111111111111116</v>
      </c>
      <c r="B221" s="30">
        <v>5.916666666666667</v>
      </c>
      <c r="C221" s="30">
        <f t="shared" si="3"/>
        <v>0.57638888888888895</v>
      </c>
    </row>
    <row r="222" spans="1:3" x14ac:dyDescent="0.25">
      <c r="A222" s="30">
        <v>9.4722222222222214</v>
      </c>
      <c r="B222" s="30">
        <v>6.3888888888888893</v>
      </c>
      <c r="C222" s="30">
        <f t="shared" si="3"/>
        <v>0.79305555555555562</v>
      </c>
    </row>
    <row r="223" spans="1:3" x14ac:dyDescent="0.25">
      <c r="A223" s="30">
        <v>8.3611111111111125</v>
      </c>
      <c r="B223" s="30">
        <v>0</v>
      </c>
      <c r="C223" s="30">
        <f t="shared" si="3"/>
        <v>0.41805555555555562</v>
      </c>
    </row>
    <row r="224" spans="1:3" x14ac:dyDescent="0.25">
      <c r="A224" s="30">
        <v>5.6388888888888893</v>
      </c>
      <c r="B224" s="30">
        <v>7.833333333333333</v>
      </c>
      <c r="C224" s="30">
        <f t="shared" si="3"/>
        <v>0.67361111111111116</v>
      </c>
    </row>
    <row r="225" spans="1:3" x14ac:dyDescent="0.25">
      <c r="A225" s="30">
        <v>6.833333333333333</v>
      </c>
      <c r="B225" s="30">
        <v>4.6388888888888893</v>
      </c>
      <c r="C225" s="30">
        <f t="shared" si="3"/>
        <v>0.57361111111111107</v>
      </c>
    </row>
    <row r="226" spans="1:3" x14ac:dyDescent="0.25">
      <c r="A226" s="30">
        <v>0</v>
      </c>
      <c r="B226" s="30">
        <v>0.5</v>
      </c>
      <c r="C226" s="30">
        <f t="shared" si="3"/>
        <v>2.5000000000000001E-2</v>
      </c>
    </row>
    <row r="227" spans="1:3" x14ac:dyDescent="0.25">
      <c r="A227" s="30">
        <v>0.69444444444444453</v>
      </c>
      <c r="B227" s="30">
        <v>0.80555555555555558</v>
      </c>
      <c r="C227" s="30">
        <f t="shared" si="3"/>
        <v>7.5000000000000011E-2</v>
      </c>
    </row>
    <row r="228" spans="1:3" x14ac:dyDescent="0.25">
      <c r="A228" s="30">
        <v>1.7777777777777779</v>
      </c>
      <c r="B228" s="30">
        <v>2.25</v>
      </c>
      <c r="C228" s="30">
        <f t="shared" si="3"/>
        <v>0.2013888888888889</v>
      </c>
    </row>
    <row r="229" spans="1:3" x14ac:dyDescent="0.25">
      <c r="A229" s="30">
        <v>0</v>
      </c>
      <c r="B229" s="30">
        <v>1.5555555555555556</v>
      </c>
      <c r="C229" s="30">
        <f t="shared" si="3"/>
        <v>7.7777777777777779E-2</v>
      </c>
    </row>
    <row r="230" spans="1:3" x14ac:dyDescent="0.25">
      <c r="A230" s="30">
        <v>0</v>
      </c>
      <c r="B230" s="30">
        <v>0.55555555555555558</v>
      </c>
      <c r="C230" s="30">
        <f t="shared" si="3"/>
        <v>2.777777777777778E-2</v>
      </c>
    </row>
    <row r="231" spans="1:3" x14ac:dyDescent="0.25">
      <c r="A231" s="30">
        <v>0</v>
      </c>
      <c r="B231" s="30">
        <v>3.1666666666666665</v>
      </c>
      <c r="C231" s="30">
        <f t="shared" si="3"/>
        <v>0.15833333333333333</v>
      </c>
    </row>
    <row r="232" spans="1:3" x14ac:dyDescent="0.25">
      <c r="A232" s="30">
        <v>0</v>
      </c>
      <c r="B232" s="30">
        <v>1.5833333333333333</v>
      </c>
      <c r="C232" s="30">
        <f t="shared" si="3"/>
        <v>7.9166666666666663E-2</v>
      </c>
    </row>
    <row r="233" spans="1:3" x14ac:dyDescent="0.25">
      <c r="A233" s="30">
        <v>0</v>
      </c>
      <c r="B233" s="30">
        <v>5.9722222222222223</v>
      </c>
      <c r="C233" s="30">
        <f t="shared" si="3"/>
        <v>0.2986111111111111</v>
      </c>
    </row>
    <row r="234" spans="1:3" x14ac:dyDescent="0.25">
      <c r="A234" s="30">
        <v>0</v>
      </c>
      <c r="B234" s="30">
        <v>4.5277777777777777</v>
      </c>
      <c r="C234" s="30">
        <f t="shared" si="3"/>
        <v>0.22638888888888889</v>
      </c>
    </row>
    <row r="235" spans="1:3" x14ac:dyDescent="0.25">
      <c r="A235" s="30">
        <v>0</v>
      </c>
      <c r="B235" s="30">
        <v>2.1111111111111112</v>
      </c>
      <c r="C235" s="30">
        <f t="shared" si="3"/>
        <v>0.10555555555555557</v>
      </c>
    </row>
    <row r="236" spans="1:3" x14ac:dyDescent="0.25">
      <c r="A236" s="30">
        <v>0</v>
      </c>
      <c r="B236" s="30">
        <v>1.3055555555555558</v>
      </c>
      <c r="C236" s="30">
        <f>((A236+B236)/2)*0.1</f>
        <v>6.5277777777777796E-2</v>
      </c>
    </row>
    <row r="237" spans="1:3" x14ac:dyDescent="0.25">
      <c r="A237" s="30">
        <v>0</v>
      </c>
      <c r="B237" s="30">
        <v>0.52777777777777779</v>
      </c>
      <c r="C237" s="30">
        <f t="shared" si="3"/>
        <v>2.6388888888888892E-2</v>
      </c>
    </row>
    <row r="238" spans="1:3" x14ac:dyDescent="0.25">
      <c r="A238" s="30">
        <v>0</v>
      </c>
      <c r="B238" s="30">
        <v>1.3888888888888891</v>
      </c>
      <c r="C238" s="30">
        <f t="shared" si="3"/>
        <v>6.9444444444444461E-2</v>
      </c>
    </row>
    <row r="239" spans="1:3" x14ac:dyDescent="0.25">
      <c r="A239" s="30">
        <v>0</v>
      </c>
      <c r="B239" s="30">
        <v>1</v>
      </c>
      <c r="C239" s="30">
        <f t="shared" si="3"/>
        <v>0.05</v>
      </c>
    </row>
    <row r="240" spans="1:3" x14ac:dyDescent="0.25">
      <c r="A240" s="30">
        <v>0</v>
      </c>
      <c r="B240" s="30">
        <v>0.55555555555555558</v>
      </c>
      <c r="C240" s="30">
        <f t="shared" si="3"/>
        <v>2.777777777777778E-2</v>
      </c>
    </row>
    <row r="241" spans="1:3" x14ac:dyDescent="0.25">
      <c r="A241" s="30">
        <v>0</v>
      </c>
      <c r="B241" s="30">
        <v>1.0277777777777777</v>
      </c>
      <c r="C241" s="30">
        <f t="shared" si="3"/>
        <v>5.1388888888888887E-2</v>
      </c>
    </row>
    <row r="242" spans="1:3" x14ac:dyDescent="0.25">
      <c r="A242" s="30">
        <v>0</v>
      </c>
      <c r="B242" s="30">
        <v>5.6388888888888893</v>
      </c>
      <c r="C242" s="30">
        <f t="shared" si="3"/>
        <v>0.2819444444444445</v>
      </c>
    </row>
    <row r="243" spans="1:3" x14ac:dyDescent="0.25">
      <c r="A243" s="30">
        <v>0</v>
      </c>
      <c r="B243" s="30">
        <v>0.47222222222222227</v>
      </c>
      <c r="C243" s="30">
        <f t="shared" si="3"/>
        <v>2.3611111111111114E-2</v>
      </c>
    </row>
    <row r="244" spans="1:3" x14ac:dyDescent="0.25">
      <c r="A244" s="30">
        <v>0</v>
      </c>
      <c r="B244" s="30">
        <v>0.63888888888888884</v>
      </c>
      <c r="C244" s="30">
        <f t="shared" si="3"/>
        <v>3.1944444444444442E-2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3326-99EA-4B33-B411-E6FC997235E2}">
  <dimension ref="A1:AG1048"/>
  <sheetViews>
    <sheetView workbookViewId="0">
      <selection activeCell="X1" sqref="X1"/>
    </sheetView>
  </sheetViews>
  <sheetFormatPr defaultColWidth="12.5703125" defaultRowHeight="15" x14ac:dyDescent="0.25"/>
  <cols>
    <col min="1" max="1" width="5" customWidth="1"/>
    <col min="2" max="2" width="32.42578125" customWidth="1"/>
  </cols>
  <sheetData>
    <row r="1" spans="1:33" ht="35.25" customHeight="1" x14ac:dyDescent="0.25">
      <c r="A1" s="83"/>
      <c r="B1" s="83" t="s">
        <v>254</v>
      </c>
      <c r="C1" s="84" t="s">
        <v>255</v>
      </c>
      <c r="D1" s="83" t="s">
        <v>256</v>
      </c>
      <c r="E1" s="83" t="s">
        <v>257</v>
      </c>
      <c r="F1" s="83" t="s">
        <v>258</v>
      </c>
      <c r="G1" s="83" t="s">
        <v>259</v>
      </c>
      <c r="H1" s="83" t="s">
        <v>260</v>
      </c>
      <c r="I1" s="83" t="s">
        <v>298</v>
      </c>
      <c r="J1" s="83" t="s">
        <v>262</v>
      </c>
      <c r="K1" s="83" t="s">
        <v>263</v>
      </c>
      <c r="L1" s="83" t="s">
        <v>299</v>
      </c>
      <c r="M1" s="83" t="s">
        <v>265</v>
      </c>
      <c r="N1" s="83" t="s">
        <v>266</v>
      </c>
      <c r="O1" s="83" t="s">
        <v>267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 spans="1:33" x14ac:dyDescent="0.25">
      <c r="A2" s="85"/>
      <c r="B2" s="86" t="s">
        <v>6</v>
      </c>
      <c r="C2" s="87"/>
      <c r="D2" s="85">
        <v>15</v>
      </c>
      <c r="E2" s="85">
        <v>8</v>
      </c>
      <c r="F2" s="85"/>
      <c r="G2" s="85"/>
      <c r="H2" s="85">
        <v>9</v>
      </c>
      <c r="I2" s="85"/>
      <c r="J2" s="85"/>
      <c r="K2" s="85"/>
      <c r="L2" s="85">
        <v>20</v>
      </c>
      <c r="M2" s="85"/>
      <c r="N2" s="85"/>
      <c r="O2" s="85" t="s">
        <v>268</v>
      </c>
      <c r="P2" s="86"/>
      <c r="Q2" s="86">
        <f>SUM(C2:N2)</f>
        <v>52</v>
      </c>
      <c r="R2" s="86">
        <f>(Q2/360)*100</f>
        <v>14.444444444444443</v>
      </c>
      <c r="S2" s="86">
        <f>R2*0.1</f>
        <v>1.4444444444444444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3" x14ac:dyDescent="0.25">
      <c r="A3" s="85"/>
      <c r="B3" s="86" t="s">
        <v>7</v>
      </c>
      <c r="C3" s="87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 t="s">
        <v>268</v>
      </c>
      <c r="P3" s="86" t="s">
        <v>300</v>
      </c>
      <c r="Q3" s="86">
        <f t="shared" ref="Q3:Q66" si="0">SUM(C3:N3)</f>
        <v>0</v>
      </c>
      <c r="R3" s="86">
        <f t="shared" ref="R3:R66" si="1">(Q3/360)*100</f>
        <v>0</v>
      </c>
      <c r="S3" s="86">
        <f t="shared" ref="S3:S66" si="2">R3*0.1</f>
        <v>0</v>
      </c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</row>
    <row r="4" spans="1:33" x14ac:dyDescent="0.25">
      <c r="A4" s="85"/>
      <c r="B4" s="86" t="s">
        <v>8</v>
      </c>
      <c r="C4" s="87"/>
      <c r="D4" s="85"/>
      <c r="E4" s="85">
        <v>12</v>
      </c>
      <c r="F4" s="85">
        <v>17</v>
      </c>
      <c r="G4" s="85"/>
      <c r="H4" s="85"/>
      <c r="I4" s="85">
        <v>12</v>
      </c>
      <c r="J4" s="85"/>
      <c r="K4" s="85">
        <v>17</v>
      </c>
      <c r="L4" s="85">
        <v>10</v>
      </c>
      <c r="M4" s="85">
        <v>19</v>
      </c>
      <c r="N4" s="85">
        <v>17</v>
      </c>
      <c r="O4" s="85" t="s">
        <v>268</v>
      </c>
      <c r="P4" s="86"/>
      <c r="Q4" s="86">
        <f t="shared" si="0"/>
        <v>104</v>
      </c>
      <c r="R4" s="86">
        <f t="shared" si="1"/>
        <v>28.888888888888886</v>
      </c>
      <c r="S4" s="86">
        <f t="shared" si="2"/>
        <v>2.8888888888888888</v>
      </c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</row>
    <row r="5" spans="1:33" x14ac:dyDescent="0.25">
      <c r="A5" s="85"/>
      <c r="B5" s="86" t="s">
        <v>9</v>
      </c>
      <c r="C5" s="87"/>
      <c r="D5" s="85">
        <v>7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 t="s">
        <v>268</v>
      </c>
      <c r="P5" s="86"/>
      <c r="Q5" s="86">
        <f t="shared" si="0"/>
        <v>7</v>
      </c>
      <c r="R5" s="86">
        <f t="shared" si="1"/>
        <v>1.9444444444444444</v>
      </c>
      <c r="S5" s="86">
        <f t="shared" si="2"/>
        <v>0.19444444444444445</v>
      </c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</row>
    <row r="6" spans="1:33" x14ac:dyDescent="0.25">
      <c r="A6" s="85"/>
      <c r="B6" s="86" t="s">
        <v>301</v>
      </c>
      <c r="C6" s="87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 t="s">
        <v>268</v>
      </c>
      <c r="P6" s="86"/>
      <c r="Q6" s="86">
        <f t="shared" si="0"/>
        <v>0</v>
      </c>
      <c r="R6" s="86">
        <f t="shared" si="1"/>
        <v>0</v>
      </c>
      <c r="S6" s="86">
        <f t="shared" si="2"/>
        <v>0</v>
      </c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spans="1:33" x14ac:dyDescent="0.25">
      <c r="A7" s="85"/>
      <c r="B7" s="86" t="s">
        <v>11</v>
      </c>
      <c r="C7" s="87"/>
      <c r="D7" s="85"/>
      <c r="E7" s="85"/>
      <c r="F7" s="85"/>
      <c r="G7" s="85"/>
      <c r="H7" s="85">
        <v>13</v>
      </c>
      <c r="I7" s="85"/>
      <c r="J7" s="85"/>
      <c r="K7" s="85"/>
      <c r="L7" s="85"/>
      <c r="M7" s="85"/>
      <c r="N7" s="85"/>
      <c r="O7" s="85" t="s">
        <v>268</v>
      </c>
      <c r="P7" s="86"/>
      <c r="Q7" s="86">
        <f t="shared" si="0"/>
        <v>13</v>
      </c>
      <c r="R7" s="86">
        <f t="shared" si="1"/>
        <v>3.6111111111111107</v>
      </c>
      <c r="S7" s="86">
        <f t="shared" si="2"/>
        <v>0.3611111111111111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</row>
    <row r="8" spans="1:33" x14ac:dyDescent="0.25">
      <c r="A8" s="85"/>
      <c r="B8" s="86" t="s">
        <v>12</v>
      </c>
      <c r="C8" s="87"/>
      <c r="D8" s="85"/>
      <c r="E8" s="85"/>
      <c r="F8" s="85"/>
      <c r="G8" s="85"/>
      <c r="H8" s="85"/>
      <c r="I8" s="85"/>
      <c r="J8" s="85"/>
      <c r="K8" s="85"/>
      <c r="L8" s="85"/>
      <c r="M8" s="85">
        <v>22</v>
      </c>
      <c r="N8" s="85">
        <v>19</v>
      </c>
      <c r="O8" s="85" t="s">
        <v>268</v>
      </c>
      <c r="P8" s="86"/>
      <c r="Q8" s="86">
        <f t="shared" si="0"/>
        <v>41</v>
      </c>
      <c r="R8" s="86">
        <f t="shared" si="1"/>
        <v>11.388888888888889</v>
      </c>
      <c r="S8" s="86">
        <f t="shared" si="2"/>
        <v>1.1388888888888891</v>
      </c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</row>
    <row r="9" spans="1:33" x14ac:dyDescent="0.25">
      <c r="A9" s="85"/>
      <c r="B9" s="86" t="s">
        <v>13</v>
      </c>
      <c r="C9" s="87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 t="s">
        <v>268</v>
      </c>
      <c r="P9" s="86"/>
      <c r="Q9" s="86">
        <f t="shared" si="0"/>
        <v>0</v>
      </c>
      <c r="R9" s="86">
        <f t="shared" si="1"/>
        <v>0</v>
      </c>
      <c r="S9" s="86">
        <f t="shared" si="2"/>
        <v>0</v>
      </c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</row>
    <row r="10" spans="1:33" x14ac:dyDescent="0.25">
      <c r="A10" s="85"/>
      <c r="B10" s="86" t="s">
        <v>302</v>
      </c>
      <c r="C10" s="87">
        <v>23</v>
      </c>
      <c r="D10" s="85">
        <v>21</v>
      </c>
      <c r="E10" s="85">
        <v>21</v>
      </c>
      <c r="F10" s="85">
        <v>25</v>
      </c>
      <c r="G10" s="85"/>
      <c r="H10" s="85">
        <v>26</v>
      </c>
      <c r="I10" s="85">
        <v>18</v>
      </c>
      <c r="J10" s="85">
        <v>19</v>
      </c>
      <c r="K10" s="85"/>
      <c r="L10" s="85">
        <v>22</v>
      </c>
      <c r="M10" s="85"/>
      <c r="N10" s="85">
        <v>24</v>
      </c>
      <c r="O10" s="85" t="s">
        <v>268</v>
      </c>
      <c r="P10" s="86"/>
      <c r="Q10" s="86">
        <f t="shared" si="0"/>
        <v>199</v>
      </c>
      <c r="R10" s="86">
        <f t="shared" si="1"/>
        <v>55.277777777777779</v>
      </c>
      <c r="S10" s="86">
        <f t="shared" si="2"/>
        <v>5.5277777777777786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</row>
    <row r="11" spans="1:33" x14ac:dyDescent="0.25">
      <c r="A11" s="85"/>
      <c r="B11" s="86" t="s">
        <v>15</v>
      </c>
      <c r="C11" s="87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 t="s">
        <v>268</v>
      </c>
      <c r="P11" s="86" t="s">
        <v>303</v>
      </c>
      <c r="Q11" s="86">
        <f t="shared" si="0"/>
        <v>0</v>
      </c>
      <c r="R11" s="86">
        <f t="shared" si="1"/>
        <v>0</v>
      </c>
      <c r="S11" s="86">
        <f t="shared" si="2"/>
        <v>0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</row>
    <row r="12" spans="1:33" x14ac:dyDescent="0.25">
      <c r="A12" s="85"/>
      <c r="B12" s="86" t="s">
        <v>16</v>
      </c>
      <c r="C12" s="87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268</v>
      </c>
      <c r="P12" s="86"/>
      <c r="Q12" s="86">
        <f t="shared" si="0"/>
        <v>0</v>
      </c>
      <c r="R12" s="86">
        <f t="shared" si="1"/>
        <v>0</v>
      </c>
      <c r="S12" s="86">
        <f t="shared" si="2"/>
        <v>0</v>
      </c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</row>
    <row r="13" spans="1:33" x14ac:dyDescent="0.25">
      <c r="A13" s="85"/>
      <c r="B13" s="86" t="s">
        <v>17</v>
      </c>
      <c r="C13" s="87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 t="s">
        <v>268</v>
      </c>
      <c r="P13" s="86"/>
      <c r="Q13" s="86">
        <f t="shared" si="0"/>
        <v>0</v>
      </c>
      <c r="R13" s="86">
        <f t="shared" si="1"/>
        <v>0</v>
      </c>
      <c r="S13" s="86">
        <f t="shared" si="2"/>
        <v>0</v>
      </c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</row>
    <row r="14" spans="1:33" x14ac:dyDescent="0.25">
      <c r="A14" s="85"/>
      <c r="B14" s="86" t="s">
        <v>18</v>
      </c>
      <c r="C14" s="87">
        <v>22</v>
      </c>
      <c r="D14" s="85">
        <v>12</v>
      </c>
      <c r="E14" s="85">
        <v>10</v>
      </c>
      <c r="F14" s="85">
        <v>13</v>
      </c>
      <c r="G14" s="85">
        <v>13</v>
      </c>
      <c r="H14" s="85">
        <v>12</v>
      </c>
      <c r="I14" s="85">
        <v>7</v>
      </c>
      <c r="J14" s="85"/>
      <c r="K14" s="85"/>
      <c r="L14" s="85">
        <v>16</v>
      </c>
      <c r="M14" s="85">
        <v>22</v>
      </c>
      <c r="N14" s="85"/>
      <c r="O14" s="85" t="s">
        <v>268</v>
      </c>
      <c r="P14" s="86"/>
      <c r="Q14" s="86">
        <f t="shared" si="0"/>
        <v>127</v>
      </c>
      <c r="R14" s="86">
        <f t="shared" si="1"/>
        <v>35.277777777777779</v>
      </c>
      <c r="S14" s="86">
        <f t="shared" si="2"/>
        <v>3.5277777777777781</v>
      </c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</row>
    <row r="15" spans="1:33" x14ac:dyDescent="0.25">
      <c r="A15" s="85"/>
      <c r="B15" s="86" t="s">
        <v>19</v>
      </c>
      <c r="C15" s="87"/>
      <c r="D15" s="85"/>
      <c r="E15" s="85"/>
      <c r="F15" s="85"/>
      <c r="G15" s="85"/>
      <c r="H15" s="85"/>
      <c r="I15" s="85">
        <v>13</v>
      </c>
      <c r="J15" s="85"/>
      <c r="K15" s="85"/>
      <c r="L15" s="85"/>
      <c r="M15" s="85"/>
      <c r="N15" s="85"/>
      <c r="O15" s="85" t="s">
        <v>268</v>
      </c>
      <c r="P15" s="86"/>
      <c r="Q15" s="86">
        <f t="shared" si="0"/>
        <v>13</v>
      </c>
      <c r="R15" s="86">
        <f t="shared" si="1"/>
        <v>3.6111111111111107</v>
      </c>
      <c r="S15" s="86">
        <f t="shared" si="2"/>
        <v>0.3611111111111111</v>
      </c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</row>
    <row r="16" spans="1:33" x14ac:dyDescent="0.25">
      <c r="A16" s="85"/>
      <c r="B16" s="86" t="s">
        <v>20</v>
      </c>
      <c r="C16" s="87"/>
      <c r="D16" s="85"/>
      <c r="E16" s="85">
        <v>8</v>
      </c>
      <c r="F16" s="85"/>
      <c r="G16" s="85"/>
      <c r="H16" s="85"/>
      <c r="I16" s="85">
        <v>10</v>
      </c>
      <c r="J16" s="85"/>
      <c r="K16" s="85"/>
      <c r="L16" s="85">
        <v>14</v>
      </c>
      <c r="M16" s="85"/>
      <c r="N16" s="85"/>
      <c r="O16" s="85" t="s">
        <v>268</v>
      </c>
      <c r="P16" s="86"/>
      <c r="Q16" s="86">
        <f t="shared" si="0"/>
        <v>32</v>
      </c>
      <c r="R16" s="86">
        <f t="shared" si="1"/>
        <v>8.8888888888888893</v>
      </c>
      <c r="S16" s="86">
        <f t="shared" si="2"/>
        <v>0.88888888888888895</v>
      </c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</row>
    <row r="17" spans="1:33" x14ac:dyDescent="0.25">
      <c r="A17" s="85"/>
      <c r="B17" s="86" t="s">
        <v>21</v>
      </c>
      <c r="C17" s="87"/>
      <c r="D17" s="85"/>
      <c r="E17" s="85"/>
      <c r="F17" s="85"/>
      <c r="G17" s="85"/>
      <c r="H17" s="85"/>
      <c r="I17" s="85">
        <v>8</v>
      </c>
      <c r="J17" s="85"/>
      <c r="K17" s="85"/>
      <c r="L17" s="85"/>
      <c r="M17" s="85"/>
      <c r="N17" s="85"/>
      <c r="O17" s="85" t="s">
        <v>268</v>
      </c>
      <c r="P17" s="86"/>
      <c r="Q17" s="86">
        <f t="shared" si="0"/>
        <v>8</v>
      </c>
      <c r="R17" s="86">
        <f t="shared" si="1"/>
        <v>2.2222222222222223</v>
      </c>
      <c r="S17" s="86">
        <f t="shared" si="2"/>
        <v>0.22222222222222224</v>
      </c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</row>
    <row r="18" spans="1:33" x14ac:dyDescent="0.25">
      <c r="A18" s="85"/>
      <c r="B18" s="86" t="s">
        <v>22</v>
      </c>
      <c r="C18" s="87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 t="s">
        <v>268</v>
      </c>
      <c r="P18" s="86"/>
      <c r="Q18" s="86">
        <f t="shared" si="0"/>
        <v>0</v>
      </c>
      <c r="R18" s="86">
        <f t="shared" si="1"/>
        <v>0</v>
      </c>
      <c r="S18" s="86">
        <f t="shared" si="2"/>
        <v>0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</row>
    <row r="19" spans="1:33" x14ac:dyDescent="0.25">
      <c r="A19" s="85"/>
      <c r="B19" s="86" t="s">
        <v>23</v>
      </c>
      <c r="C19" s="87">
        <v>28</v>
      </c>
      <c r="D19" s="85">
        <v>24</v>
      </c>
      <c r="E19" s="85">
        <v>18</v>
      </c>
      <c r="F19" s="85">
        <v>22</v>
      </c>
      <c r="G19" s="85">
        <v>26</v>
      </c>
      <c r="H19" s="85">
        <v>24</v>
      </c>
      <c r="I19" s="85">
        <v>26</v>
      </c>
      <c r="J19" s="85">
        <v>21</v>
      </c>
      <c r="K19" s="85">
        <v>30</v>
      </c>
      <c r="L19" s="85">
        <v>24</v>
      </c>
      <c r="M19" s="85">
        <v>30</v>
      </c>
      <c r="N19" s="85">
        <v>24</v>
      </c>
      <c r="O19" s="85" t="s">
        <v>268</v>
      </c>
      <c r="P19" s="86"/>
      <c r="Q19" s="86">
        <f t="shared" si="0"/>
        <v>297</v>
      </c>
      <c r="R19" s="86">
        <f t="shared" si="1"/>
        <v>82.5</v>
      </c>
      <c r="S19" s="86">
        <f t="shared" si="2"/>
        <v>8.25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</row>
    <row r="20" spans="1:33" x14ac:dyDescent="0.25">
      <c r="A20" s="85"/>
      <c r="B20" s="86" t="s">
        <v>24</v>
      </c>
      <c r="C20" s="87"/>
      <c r="D20" s="85"/>
      <c r="E20" s="85">
        <v>13</v>
      </c>
      <c r="F20" s="85">
        <v>16</v>
      </c>
      <c r="G20" s="85">
        <v>13</v>
      </c>
      <c r="H20" s="85">
        <v>18</v>
      </c>
      <c r="I20" s="85">
        <v>18</v>
      </c>
      <c r="J20" s="85"/>
      <c r="K20" s="85"/>
      <c r="L20" s="85">
        <v>16</v>
      </c>
      <c r="M20" s="85">
        <v>25</v>
      </c>
      <c r="N20" s="85">
        <v>18</v>
      </c>
      <c r="O20" s="85" t="s">
        <v>268</v>
      </c>
      <c r="P20" s="86"/>
      <c r="Q20" s="86">
        <f t="shared" si="0"/>
        <v>137</v>
      </c>
      <c r="R20" s="86">
        <f t="shared" si="1"/>
        <v>38.055555555555557</v>
      </c>
      <c r="S20" s="86">
        <f t="shared" si="2"/>
        <v>3.8055555555555558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</row>
    <row r="21" spans="1:33" x14ac:dyDescent="0.25">
      <c r="A21" s="85"/>
      <c r="B21" s="86" t="s">
        <v>25</v>
      </c>
      <c r="C21" s="87"/>
      <c r="D21" s="85">
        <v>28</v>
      </c>
      <c r="E21" s="85">
        <v>27</v>
      </c>
      <c r="F21" s="85"/>
      <c r="G21" s="85"/>
      <c r="H21" s="85"/>
      <c r="I21" s="85"/>
      <c r="J21" s="85"/>
      <c r="K21" s="85"/>
      <c r="L21" s="85"/>
      <c r="M21" s="85"/>
      <c r="N21" s="85"/>
      <c r="O21" s="85" t="s">
        <v>268</v>
      </c>
      <c r="P21" s="86"/>
      <c r="Q21" s="86">
        <f t="shared" si="0"/>
        <v>55</v>
      </c>
      <c r="R21" s="86">
        <f t="shared" si="1"/>
        <v>15.277777777777779</v>
      </c>
      <c r="S21" s="86">
        <f t="shared" si="2"/>
        <v>1.5277777777777779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</row>
    <row r="22" spans="1:33" x14ac:dyDescent="0.25">
      <c r="A22" s="85"/>
      <c r="B22" s="86" t="s">
        <v>26</v>
      </c>
      <c r="C22" s="87">
        <v>13</v>
      </c>
      <c r="D22" s="85">
        <v>15</v>
      </c>
      <c r="E22" s="85"/>
      <c r="F22" s="85">
        <v>12</v>
      </c>
      <c r="G22" s="85">
        <v>13</v>
      </c>
      <c r="H22" s="85">
        <v>18</v>
      </c>
      <c r="I22" s="85">
        <v>13</v>
      </c>
      <c r="J22" s="85"/>
      <c r="K22" s="85"/>
      <c r="L22" s="85">
        <v>14</v>
      </c>
      <c r="M22" s="85"/>
      <c r="N22" s="85">
        <v>20</v>
      </c>
      <c r="O22" s="85" t="s">
        <v>268</v>
      </c>
      <c r="P22" s="86"/>
      <c r="Q22" s="86">
        <f t="shared" si="0"/>
        <v>118</v>
      </c>
      <c r="R22" s="86">
        <f t="shared" si="1"/>
        <v>32.777777777777779</v>
      </c>
      <c r="S22" s="86">
        <f t="shared" si="2"/>
        <v>3.2777777777777781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</row>
    <row r="23" spans="1:33" x14ac:dyDescent="0.25">
      <c r="A23" s="85"/>
      <c r="B23" s="86" t="s">
        <v>27</v>
      </c>
      <c r="C23" s="87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 t="s">
        <v>268</v>
      </c>
      <c r="P23" s="86"/>
      <c r="Q23" s="86">
        <f t="shared" si="0"/>
        <v>0</v>
      </c>
      <c r="R23" s="86">
        <f t="shared" si="1"/>
        <v>0</v>
      </c>
      <c r="S23" s="86">
        <f t="shared" si="2"/>
        <v>0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</row>
    <row r="24" spans="1:33" x14ac:dyDescent="0.25">
      <c r="A24" s="85"/>
      <c r="B24" s="86" t="s">
        <v>28</v>
      </c>
      <c r="C24" s="87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 t="s">
        <v>268</v>
      </c>
      <c r="P24" s="86"/>
      <c r="Q24" s="86">
        <f t="shared" si="0"/>
        <v>0</v>
      </c>
      <c r="R24" s="86">
        <f t="shared" si="1"/>
        <v>0</v>
      </c>
      <c r="S24" s="86">
        <f t="shared" si="2"/>
        <v>0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spans="1:33" x14ac:dyDescent="0.25">
      <c r="A25" s="85"/>
      <c r="B25" s="86" t="s">
        <v>29</v>
      </c>
      <c r="C25" s="87"/>
      <c r="D25" s="85"/>
      <c r="E25" s="85">
        <v>17</v>
      </c>
      <c r="F25" s="85">
        <v>18</v>
      </c>
      <c r="G25" s="85"/>
      <c r="H25" s="85"/>
      <c r="I25" s="85">
        <v>14</v>
      </c>
      <c r="J25" s="85">
        <v>17</v>
      </c>
      <c r="K25" s="85">
        <v>18</v>
      </c>
      <c r="L25" s="85">
        <v>13</v>
      </c>
      <c r="M25" s="85">
        <v>21</v>
      </c>
      <c r="N25" s="85">
        <v>22</v>
      </c>
      <c r="O25" s="85" t="s">
        <v>268</v>
      </c>
      <c r="P25" s="86"/>
      <c r="Q25" s="86">
        <f t="shared" si="0"/>
        <v>140</v>
      </c>
      <c r="R25" s="86">
        <f t="shared" si="1"/>
        <v>38.888888888888893</v>
      </c>
      <c r="S25" s="86">
        <f t="shared" si="2"/>
        <v>3.8888888888888893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spans="1:33" x14ac:dyDescent="0.25">
      <c r="A26" s="85"/>
      <c r="B26" s="86" t="s">
        <v>30</v>
      </c>
      <c r="C26" s="87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 t="s">
        <v>268</v>
      </c>
      <c r="P26" s="86"/>
      <c r="Q26" s="86">
        <f t="shared" si="0"/>
        <v>0</v>
      </c>
      <c r="R26" s="86">
        <f t="shared" si="1"/>
        <v>0</v>
      </c>
      <c r="S26" s="86">
        <f t="shared" si="2"/>
        <v>0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</row>
    <row r="27" spans="1:33" x14ac:dyDescent="0.25">
      <c r="A27" s="85"/>
      <c r="B27" s="86" t="s">
        <v>31</v>
      </c>
      <c r="C27" s="87">
        <v>11</v>
      </c>
      <c r="D27" s="85">
        <v>19</v>
      </c>
      <c r="E27" s="85">
        <v>10</v>
      </c>
      <c r="F27" s="85">
        <v>14</v>
      </c>
      <c r="G27" s="85"/>
      <c r="H27" s="85"/>
      <c r="I27" s="85">
        <v>16</v>
      </c>
      <c r="J27" s="85"/>
      <c r="K27" s="85"/>
      <c r="L27" s="85">
        <v>17</v>
      </c>
      <c r="M27" s="85">
        <v>24</v>
      </c>
      <c r="N27" s="85">
        <v>17</v>
      </c>
      <c r="O27" s="85" t="s">
        <v>268</v>
      </c>
      <c r="P27" s="86"/>
      <c r="Q27" s="86">
        <f t="shared" si="0"/>
        <v>128</v>
      </c>
      <c r="R27" s="86">
        <f t="shared" si="1"/>
        <v>35.555555555555557</v>
      </c>
      <c r="S27" s="86">
        <f t="shared" si="2"/>
        <v>3.5555555555555558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</row>
    <row r="28" spans="1:33" x14ac:dyDescent="0.25">
      <c r="A28" s="85"/>
      <c r="B28" s="86" t="s">
        <v>32</v>
      </c>
      <c r="C28" s="87"/>
      <c r="D28" s="85">
        <v>27</v>
      </c>
      <c r="E28" s="85">
        <v>22</v>
      </c>
      <c r="F28" s="85"/>
      <c r="G28" s="85"/>
      <c r="H28" s="85"/>
      <c r="I28" s="85">
        <v>23</v>
      </c>
      <c r="J28" s="85"/>
      <c r="K28" s="85"/>
      <c r="L28" s="85">
        <v>27</v>
      </c>
      <c r="M28" s="85"/>
      <c r="N28" s="85"/>
      <c r="O28" s="85" t="s">
        <v>268</v>
      </c>
      <c r="P28" s="86"/>
      <c r="Q28" s="86">
        <f t="shared" si="0"/>
        <v>99</v>
      </c>
      <c r="R28" s="86">
        <f t="shared" si="1"/>
        <v>27.500000000000004</v>
      </c>
      <c r="S28" s="86">
        <f t="shared" si="2"/>
        <v>2.7500000000000004</v>
      </c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spans="1:33" x14ac:dyDescent="0.25">
      <c r="A29" s="85"/>
      <c r="B29" s="86" t="s">
        <v>33</v>
      </c>
      <c r="C29" s="87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 t="s">
        <v>268</v>
      </c>
      <c r="P29" s="86"/>
      <c r="Q29" s="86">
        <f t="shared" si="0"/>
        <v>0</v>
      </c>
      <c r="R29" s="86">
        <f t="shared" si="1"/>
        <v>0</v>
      </c>
      <c r="S29" s="86">
        <f t="shared" si="2"/>
        <v>0</v>
      </c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</row>
    <row r="30" spans="1:33" x14ac:dyDescent="0.25">
      <c r="A30" s="85"/>
      <c r="B30" s="86" t="s">
        <v>34</v>
      </c>
      <c r="C30" s="87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 t="s">
        <v>268</v>
      </c>
      <c r="P30" s="86"/>
      <c r="Q30" s="86">
        <f t="shared" si="0"/>
        <v>0</v>
      </c>
      <c r="R30" s="86">
        <f t="shared" si="1"/>
        <v>0</v>
      </c>
      <c r="S30" s="86">
        <f t="shared" si="2"/>
        <v>0</v>
      </c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spans="1:33" x14ac:dyDescent="0.25">
      <c r="A31" s="85"/>
      <c r="B31" s="86" t="s">
        <v>35</v>
      </c>
      <c r="C31" s="87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 t="s">
        <v>268</v>
      </c>
      <c r="P31" s="86"/>
      <c r="Q31" s="86">
        <f t="shared" si="0"/>
        <v>0</v>
      </c>
      <c r="R31" s="86">
        <f t="shared" si="1"/>
        <v>0</v>
      </c>
      <c r="S31" s="86">
        <f t="shared" si="2"/>
        <v>0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spans="1:33" x14ac:dyDescent="0.25">
      <c r="A32" s="85"/>
      <c r="B32" s="86" t="s">
        <v>36</v>
      </c>
      <c r="C32" s="87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 t="s">
        <v>268</v>
      </c>
      <c r="P32" s="86"/>
      <c r="Q32" s="86">
        <f t="shared" si="0"/>
        <v>0</v>
      </c>
      <c r="R32" s="86">
        <f t="shared" si="1"/>
        <v>0</v>
      </c>
      <c r="S32" s="86">
        <f t="shared" si="2"/>
        <v>0</v>
      </c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</row>
    <row r="33" spans="1:33" x14ac:dyDescent="0.25">
      <c r="A33" s="85"/>
      <c r="B33" s="86" t="s">
        <v>37</v>
      </c>
      <c r="C33" s="87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 t="s">
        <v>268</v>
      </c>
      <c r="P33" s="86"/>
      <c r="Q33" s="86">
        <f t="shared" si="0"/>
        <v>0</v>
      </c>
      <c r="R33" s="86">
        <f t="shared" si="1"/>
        <v>0</v>
      </c>
      <c r="S33" s="86">
        <f t="shared" si="2"/>
        <v>0</v>
      </c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</row>
    <row r="34" spans="1:33" x14ac:dyDescent="0.25">
      <c r="A34" s="85"/>
      <c r="B34" s="86" t="s">
        <v>38</v>
      </c>
      <c r="C34" s="87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 t="s">
        <v>268</v>
      </c>
      <c r="P34" s="86"/>
      <c r="Q34" s="86">
        <f t="shared" si="0"/>
        <v>0</v>
      </c>
      <c r="R34" s="86">
        <f t="shared" si="1"/>
        <v>0</v>
      </c>
      <c r="S34" s="86">
        <f t="shared" si="2"/>
        <v>0</v>
      </c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spans="1:33" x14ac:dyDescent="0.25">
      <c r="A35" s="85"/>
      <c r="B35" s="86" t="s">
        <v>39</v>
      </c>
      <c r="C35" s="87"/>
      <c r="D35" s="85">
        <v>16</v>
      </c>
      <c r="E35" s="85"/>
      <c r="F35" s="85"/>
      <c r="G35" s="85"/>
      <c r="H35" s="85">
        <v>7</v>
      </c>
      <c r="I35" s="85"/>
      <c r="J35" s="85"/>
      <c r="K35" s="85"/>
      <c r="L35" s="85">
        <v>22</v>
      </c>
      <c r="M35" s="85"/>
      <c r="N35" s="85"/>
      <c r="O35" s="85" t="s">
        <v>268</v>
      </c>
      <c r="P35" s="86"/>
      <c r="Q35" s="86">
        <f t="shared" si="0"/>
        <v>45</v>
      </c>
      <c r="R35" s="86">
        <f t="shared" si="1"/>
        <v>12.5</v>
      </c>
      <c r="S35" s="86">
        <f t="shared" si="2"/>
        <v>1.25</v>
      </c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</row>
    <row r="36" spans="1:33" x14ac:dyDescent="0.25">
      <c r="A36" s="85"/>
      <c r="B36" s="86" t="s">
        <v>40</v>
      </c>
      <c r="C36" s="87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 t="s">
        <v>268</v>
      </c>
      <c r="P36" s="86"/>
      <c r="Q36" s="86">
        <f t="shared" si="0"/>
        <v>0</v>
      </c>
      <c r="R36" s="86">
        <f t="shared" si="1"/>
        <v>0</v>
      </c>
      <c r="S36" s="86">
        <f t="shared" si="2"/>
        <v>0</v>
      </c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</row>
    <row r="37" spans="1:33" x14ac:dyDescent="0.25">
      <c r="A37" s="85"/>
      <c r="B37" s="86" t="s">
        <v>304</v>
      </c>
      <c r="C37" s="87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 t="s">
        <v>268</v>
      </c>
      <c r="P37" s="86"/>
      <c r="Q37" s="86">
        <f t="shared" si="0"/>
        <v>0</v>
      </c>
      <c r="R37" s="86">
        <f t="shared" si="1"/>
        <v>0</v>
      </c>
      <c r="S37" s="86">
        <f t="shared" si="2"/>
        <v>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</row>
    <row r="38" spans="1:33" x14ac:dyDescent="0.25">
      <c r="A38" s="85"/>
      <c r="B38" s="86" t="s">
        <v>42</v>
      </c>
      <c r="C38" s="87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 t="s">
        <v>268</v>
      </c>
      <c r="P38" s="86"/>
      <c r="Q38" s="86">
        <f t="shared" si="0"/>
        <v>0</v>
      </c>
      <c r="R38" s="86">
        <f t="shared" si="1"/>
        <v>0</v>
      </c>
      <c r="S38" s="86">
        <f t="shared" si="2"/>
        <v>0</v>
      </c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</row>
    <row r="39" spans="1:33" x14ac:dyDescent="0.25">
      <c r="A39" s="85"/>
      <c r="B39" s="86" t="s">
        <v>43</v>
      </c>
      <c r="C39" s="87"/>
      <c r="D39" s="85">
        <v>20</v>
      </c>
      <c r="E39" s="85">
        <v>13</v>
      </c>
      <c r="F39" s="85"/>
      <c r="G39" s="85"/>
      <c r="H39" s="85"/>
      <c r="I39" s="85"/>
      <c r="J39" s="85"/>
      <c r="K39" s="85"/>
      <c r="L39" s="85"/>
      <c r="M39" s="85"/>
      <c r="N39" s="85"/>
      <c r="O39" s="85" t="s">
        <v>268</v>
      </c>
      <c r="P39" s="86"/>
      <c r="Q39" s="86">
        <f t="shared" si="0"/>
        <v>33</v>
      </c>
      <c r="R39" s="86">
        <f t="shared" si="1"/>
        <v>9.1666666666666661</v>
      </c>
      <c r="S39" s="86">
        <f t="shared" si="2"/>
        <v>0.91666666666666663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</row>
    <row r="40" spans="1:33" x14ac:dyDescent="0.25">
      <c r="A40" s="85"/>
      <c r="B40" s="86" t="s">
        <v>44</v>
      </c>
      <c r="C40" s="87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 t="s">
        <v>268</v>
      </c>
      <c r="P40" s="86"/>
      <c r="Q40" s="86">
        <f t="shared" si="0"/>
        <v>0</v>
      </c>
      <c r="R40" s="86">
        <f t="shared" si="1"/>
        <v>0</v>
      </c>
      <c r="S40" s="86">
        <f t="shared" si="2"/>
        <v>0</v>
      </c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</row>
    <row r="41" spans="1:33" x14ac:dyDescent="0.25">
      <c r="A41" s="85"/>
      <c r="B41" s="86" t="s">
        <v>45</v>
      </c>
      <c r="C41" s="87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 t="s">
        <v>268</v>
      </c>
      <c r="P41" s="86"/>
      <c r="Q41" s="86">
        <f t="shared" si="0"/>
        <v>0</v>
      </c>
      <c r="R41" s="86">
        <f t="shared" si="1"/>
        <v>0</v>
      </c>
      <c r="S41" s="86">
        <f t="shared" si="2"/>
        <v>0</v>
      </c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</row>
    <row r="42" spans="1:33" x14ac:dyDescent="0.25">
      <c r="A42" s="85"/>
      <c r="B42" s="86" t="s">
        <v>46</v>
      </c>
      <c r="C42" s="87"/>
      <c r="D42" s="85"/>
      <c r="E42" s="85">
        <v>10</v>
      </c>
      <c r="F42" s="85">
        <v>16</v>
      </c>
      <c r="G42" s="85"/>
      <c r="H42" s="85"/>
      <c r="I42" s="85"/>
      <c r="J42" s="85"/>
      <c r="K42" s="85"/>
      <c r="L42" s="85">
        <v>16</v>
      </c>
      <c r="M42" s="85"/>
      <c r="N42" s="85"/>
      <c r="O42" s="85" t="s">
        <v>268</v>
      </c>
      <c r="P42" s="86"/>
      <c r="Q42" s="86">
        <f t="shared" si="0"/>
        <v>42</v>
      </c>
      <c r="R42" s="86">
        <f t="shared" si="1"/>
        <v>11.666666666666666</v>
      </c>
      <c r="S42" s="86">
        <f t="shared" si="2"/>
        <v>1.1666666666666667</v>
      </c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</row>
    <row r="43" spans="1:33" x14ac:dyDescent="0.25">
      <c r="A43" s="85"/>
      <c r="B43" s="86" t="s">
        <v>47</v>
      </c>
      <c r="C43" s="87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 t="s">
        <v>268</v>
      </c>
      <c r="P43" s="86"/>
      <c r="Q43" s="86">
        <f t="shared" si="0"/>
        <v>0</v>
      </c>
      <c r="R43" s="86">
        <f t="shared" si="1"/>
        <v>0</v>
      </c>
      <c r="S43" s="86">
        <f t="shared" si="2"/>
        <v>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</row>
    <row r="44" spans="1:33" x14ac:dyDescent="0.25">
      <c r="A44" s="85"/>
      <c r="B44" s="86" t="s">
        <v>48</v>
      </c>
      <c r="C44" s="87"/>
      <c r="D44" s="85"/>
      <c r="E44" s="85"/>
      <c r="F44" s="85"/>
      <c r="G44" s="85">
        <v>16</v>
      </c>
      <c r="H44" s="85">
        <v>14</v>
      </c>
      <c r="I44" s="85">
        <v>22</v>
      </c>
      <c r="J44" s="85">
        <v>15</v>
      </c>
      <c r="K44" s="85"/>
      <c r="L44" s="85"/>
      <c r="M44" s="85"/>
      <c r="N44" s="85"/>
      <c r="O44" s="85" t="s">
        <v>268</v>
      </c>
      <c r="P44" s="86"/>
      <c r="Q44" s="86">
        <f t="shared" si="0"/>
        <v>67</v>
      </c>
      <c r="R44" s="86">
        <f t="shared" si="1"/>
        <v>18.611111111111111</v>
      </c>
      <c r="S44" s="86">
        <f t="shared" si="2"/>
        <v>1.8611111111111112</v>
      </c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</row>
    <row r="45" spans="1:33" x14ac:dyDescent="0.25">
      <c r="A45" s="85"/>
      <c r="B45" s="86" t="s">
        <v>49</v>
      </c>
      <c r="C45" s="87"/>
      <c r="D45" s="85"/>
      <c r="E45" s="85">
        <v>14</v>
      </c>
      <c r="F45" s="85">
        <v>12</v>
      </c>
      <c r="G45" s="85"/>
      <c r="H45" s="85">
        <v>8</v>
      </c>
      <c r="I45" s="85">
        <v>16</v>
      </c>
      <c r="J45" s="85"/>
      <c r="K45" s="85"/>
      <c r="L45" s="85">
        <v>13</v>
      </c>
      <c r="M45" s="85">
        <v>23</v>
      </c>
      <c r="N45" s="85">
        <v>15</v>
      </c>
      <c r="O45" s="85" t="s">
        <v>268</v>
      </c>
      <c r="P45" s="86"/>
      <c r="Q45" s="86">
        <f t="shared" si="0"/>
        <v>101</v>
      </c>
      <c r="R45" s="86">
        <f t="shared" si="1"/>
        <v>28.055555555555557</v>
      </c>
      <c r="S45" s="86">
        <f t="shared" si="2"/>
        <v>2.8055555555555558</v>
      </c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</row>
    <row r="46" spans="1:33" x14ac:dyDescent="0.25">
      <c r="A46" s="85"/>
      <c r="B46" s="86" t="s">
        <v>50</v>
      </c>
      <c r="C46" s="87"/>
      <c r="D46" s="85">
        <v>23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 t="s">
        <v>268</v>
      </c>
      <c r="P46" s="86"/>
      <c r="Q46" s="86">
        <f t="shared" si="0"/>
        <v>23</v>
      </c>
      <c r="R46" s="86">
        <f t="shared" si="1"/>
        <v>6.3888888888888884</v>
      </c>
      <c r="S46" s="86">
        <f t="shared" si="2"/>
        <v>0.63888888888888884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</row>
    <row r="47" spans="1:33" x14ac:dyDescent="0.25">
      <c r="A47" s="85"/>
      <c r="B47" s="86" t="s">
        <v>51</v>
      </c>
      <c r="C47" s="87"/>
      <c r="D47" s="85"/>
      <c r="E47" s="85">
        <v>11</v>
      </c>
      <c r="F47" s="85">
        <v>14</v>
      </c>
      <c r="G47" s="85"/>
      <c r="H47" s="85">
        <v>14</v>
      </c>
      <c r="I47" s="85">
        <v>13</v>
      </c>
      <c r="J47" s="85"/>
      <c r="K47" s="85"/>
      <c r="L47" s="85">
        <v>13</v>
      </c>
      <c r="M47" s="85"/>
      <c r="N47" s="85"/>
      <c r="O47" s="85" t="s">
        <v>268</v>
      </c>
      <c r="P47" s="86"/>
      <c r="Q47" s="86">
        <f t="shared" si="0"/>
        <v>65</v>
      </c>
      <c r="R47" s="86">
        <f t="shared" si="1"/>
        <v>18.055555555555554</v>
      </c>
      <c r="S47" s="86">
        <f t="shared" si="2"/>
        <v>1.8055555555555554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</row>
    <row r="48" spans="1:33" x14ac:dyDescent="0.25">
      <c r="A48" s="85"/>
      <c r="B48" s="86" t="s">
        <v>52</v>
      </c>
      <c r="C48" s="87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 t="s">
        <v>268</v>
      </c>
      <c r="P48" s="86"/>
      <c r="Q48" s="86">
        <f t="shared" si="0"/>
        <v>0</v>
      </c>
      <c r="R48" s="86">
        <f t="shared" si="1"/>
        <v>0</v>
      </c>
      <c r="S48" s="86">
        <f t="shared" si="2"/>
        <v>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</row>
    <row r="49" spans="1:33" x14ac:dyDescent="0.25">
      <c r="A49" s="85"/>
      <c r="B49" s="86" t="s">
        <v>53</v>
      </c>
      <c r="C49" s="87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 t="s">
        <v>268</v>
      </c>
      <c r="P49" s="86"/>
      <c r="Q49" s="86">
        <f t="shared" si="0"/>
        <v>0</v>
      </c>
      <c r="R49" s="86">
        <f t="shared" si="1"/>
        <v>0</v>
      </c>
      <c r="S49" s="86">
        <f t="shared" si="2"/>
        <v>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</row>
    <row r="50" spans="1:33" x14ac:dyDescent="0.25">
      <c r="A50" s="85"/>
      <c r="B50" s="86" t="s">
        <v>54</v>
      </c>
      <c r="C50" s="87"/>
      <c r="D50" s="85"/>
      <c r="E50" s="85"/>
      <c r="F50" s="85"/>
      <c r="G50" s="85"/>
      <c r="H50" s="85"/>
      <c r="I50" s="85"/>
      <c r="J50" s="85"/>
      <c r="K50" s="85">
        <v>16</v>
      </c>
      <c r="L50" s="85"/>
      <c r="M50" s="85"/>
      <c r="N50" s="85"/>
      <c r="O50" s="85" t="s">
        <v>268</v>
      </c>
      <c r="P50" s="86"/>
      <c r="Q50" s="86">
        <f t="shared" si="0"/>
        <v>16</v>
      </c>
      <c r="R50" s="86">
        <f t="shared" si="1"/>
        <v>4.4444444444444446</v>
      </c>
      <c r="S50" s="86">
        <f t="shared" si="2"/>
        <v>0.44444444444444448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</row>
    <row r="51" spans="1:33" x14ac:dyDescent="0.25">
      <c r="A51" s="85"/>
      <c r="B51" s="86" t="s">
        <v>305</v>
      </c>
      <c r="C51" s="87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 t="s">
        <v>268</v>
      </c>
      <c r="P51" s="86"/>
      <c r="Q51" s="86">
        <f t="shared" si="0"/>
        <v>0</v>
      </c>
      <c r="R51" s="86">
        <f t="shared" si="1"/>
        <v>0</v>
      </c>
      <c r="S51" s="86">
        <f t="shared" si="2"/>
        <v>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</row>
    <row r="52" spans="1:33" x14ac:dyDescent="0.25">
      <c r="A52" s="85"/>
      <c r="B52" s="86" t="s">
        <v>56</v>
      </c>
      <c r="C52" s="87">
        <v>10</v>
      </c>
      <c r="D52" s="85">
        <v>16</v>
      </c>
      <c r="E52" s="85">
        <v>6</v>
      </c>
      <c r="F52" s="85"/>
      <c r="G52" s="85"/>
      <c r="H52" s="85"/>
      <c r="I52" s="85">
        <v>11</v>
      </c>
      <c r="J52" s="85">
        <v>14</v>
      </c>
      <c r="K52" s="85"/>
      <c r="L52" s="85">
        <v>13</v>
      </c>
      <c r="M52" s="85"/>
      <c r="N52" s="85"/>
      <c r="O52" s="85" t="s">
        <v>268</v>
      </c>
      <c r="P52" s="86"/>
      <c r="Q52" s="86">
        <f t="shared" si="0"/>
        <v>70</v>
      </c>
      <c r="R52" s="86">
        <f t="shared" si="1"/>
        <v>19.444444444444446</v>
      </c>
      <c r="S52" s="86">
        <f t="shared" si="2"/>
        <v>1.9444444444444446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</row>
    <row r="53" spans="1:33" x14ac:dyDescent="0.25">
      <c r="A53" s="85"/>
      <c r="B53" s="86" t="s">
        <v>57</v>
      </c>
      <c r="C53" s="87">
        <v>11</v>
      </c>
      <c r="D53" s="85">
        <v>14</v>
      </c>
      <c r="E53" s="85">
        <v>13</v>
      </c>
      <c r="F53" s="85"/>
      <c r="G53" s="85"/>
      <c r="H53" s="85"/>
      <c r="I53" s="85">
        <v>18</v>
      </c>
      <c r="J53" s="85">
        <v>12</v>
      </c>
      <c r="K53" s="85"/>
      <c r="L53" s="85"/>
      <c r="M53" s="85"/>
      <c r="N53" s="85">
        <v>23</v>
      </c>
      <c r="O53" s="85" t="s">
        <v>268</v>
      </c>
      <c r="P53" s="86"/>
      <c r="Q53" s="86">
        <f t="shared" si="0"/>
        <v>91</v>
      </c>
      <c r="R53" s="86">
        <f t="shared" si="1"/>
        <v>25.277777777777779</v>
      </c>
      <c r="S53" s="86">
        <f t="shared" si="2"/>
        <v>2.5277777777777781</v>
      </c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</row>
    <row r="54" spans="1:33" x14ac:dyDescent="0.25">
      <c r="A54" s="85"/>
      <c r="B54" s="86" t="s">
        <v>58</v>
      </c>
      <c r="C54" s="87">
        <v>17</v>
      </c>
      <c r="D54" s="85">
        <v>17</v>
      </c>
      <c r="E54" s="85">
        <v>10</v>
      </c>
      <c r="F54" s="85">
        <v>10</v>
      </c>
      <c r="G54" s="85"/>
      <c r="H54" s="85"/>
      <c r="I54" s="85">
        <v>18</v>
      </c>
      <c r="J54" s="85">
        <v>11</v>
      </c>
      <c r="K54" s="85"/>
      <c r="L54" s="85"/>
      <c r="M54" s="85">
        <v>20</v>
      </c>
      <c r="N54" s="85">
        <v>21</v>
      </c>
      <c r="O54" s="85" t="s">
        <v>268</v>
      </c>
      <c r="P54" s="86"/>
      <c r="Q54" s="86">
        <f t="shared" si="0"/>
        <v>124</v>
      </c>
      <c r="R54" s="86">
        <f t="shared" si="1"/>
        <v>34.444444444444443</v>
      </c>
      <c r="S54" s="86">
        <f t="shared" si="2"/>
        <v>3.4444444444444446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</row>
    <row r="55" spans="1:33" x14ac:dyDescent="0.25">
      <c r="A55" s="85"/>
      <c r="B55" s="86" t="s">
        <v>59</v>
      </c>
      <c r="C55" s="87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 t="s">
        <v>268</v>
      </c>
      <c r="P55" s="86"/>
      <c r="Q55" s="86">
        <f t="shared" si="0"/>
        <v>0</v>
      </c>
      <c r="R55" s="86">
        <f t="shared" si="1"/>
        <v>0</v>
      </c>
      <c r="S55" s="86">
        <f t="shared" si="2"/>
        <v>0</v>
      </c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</row>
    <row r="56" spans="1:33" x14ac:dyDescent="0.25">
      <c r="A56" s="85"/>
      <c r="B56" s="86" t="s">
        <v>60</v>
      </c>
      <c r="C56" s="87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 t="s">
        <v>268</v>
      </c>
      <c r="P56" s="86"/>
      <c r="Q56" s="86">
        <f t="shared" si="0"/>
        <v>0</v>
      </c>
      <c r="R56" s="86">
        <f t="shared" si="1"/>
        <v>0</v>
      </c>
      <c r="S56" s="86">
        <f t="shared" si="2"/>
        <v>0</v>
      </c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</row>
    <row r="57" spans="1:33" x14ac:dyDescent="0.25">
      <c r="A57" s="85"/>
      <c r="B57" s="86" t="s">
        <v>61</v>
      </c>
      <c r="C57" s="87">
        <v>19</v>
      </c>
      <c r="D57" s="85">
        <v>14</v>
      </c>
      <c r="E57" s="85"/>
      <c r="F57" s="85"/>
      <c r="G57" s="85"/>
      <c r="H57" s="85">
        <v>19</v>
      </c>
      <c r="I57" s="85"/>
      <c r="J57" s="85"/>
      <c r="K57" s="85">
        <v>21</v>
      </c>
      <c r="L57" s="85">
        <v>18</v>
      </c>
      <c r="M57" s="85">
        <v>20</v>
      </c>
      <c r="N57" s="85">
        <v>20</v>
      </c>
      <c r="O57" s="85" t="s">
        <v>268</v>
      </c>
      <c r="P57" s="86"/>
      <c r="Q57" s="86">
        <f t="shared" si="0"/>
        <v>131</v>
      </c>
      <c r="R57" s="86">
        <f t="shared" si="1"/>
        <v>36.388888888888886</v>
      </c>
      <c r="S57" s="86">
        <f t="shared" si="2"/>
        <v>3.6388888888888888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</row>
    <row r="58" spans="1:33" x14ac:dyDescent="0.25">
      <c r="A58" s="85"/>
      <c r="B58" s="86" t="s">
        <v>62</v>
      </c>
      <c r="C58" s="87">
        <v>15</v>
      </c>
      <c r="D58" s="85">
        <v>14</v>
      </c>
      <c r="E58" s="85">
        <v>13</v>
      </c>
      <c r="F58" s="85">
        <v>21</v>
      </c>
      <c r="G58" s="85"/>
      <c r="H58" s="85">
        <v>18</v>
      </c>
      <c r="I58" s="85">
        <v>16</v>
      </c>
      <c r="J58" s="85">
        <v>17</v>
      </c>
      <c r="K58" s="85"/>
      <c r="L58" s="85"/>
      <c r="M58" s="85">
        <v>27</v>
      </c>
      <c r="N58" s="85">
        <v>21</v>
      </c>
      <c r="O58" s="85" t="s">
        <v>268</v>
      </c>
      <c r="P58" s="86"/>
      <c r="Q58" s="86">
        <f t="shared" si="0"/>
        <v>162</v>
      </c>
      <c r="R58" s="86">
        <f t="shared" si="1"/>
        <v>45</v>
      </c>
      <c r="S58" s="86">
        <f t="shared" si="2"/>
        <v>4.5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</row>
    <row r="59" spans="1:33" x14ac:dyDescent="0.25">
      <c r="A59" s="85"/>
      <c r="B59" s="86" t="s">
        <v>63</v>
      </c>
      <c r="C59" s="87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 t="s">
        <v>268</v>
      </c>
      <c r="P59" s="86"/>
      <c r="Q59" s="86">
        <f t="shared" si="0"/>
        <v>0</v>
      </c>
      <c r="R59" s="86">
        <f t="shared" si="1"/>
        <v>0</v>
      </c>
      <c r="S59" s="86">
        <f t="shared" si="2"/>
        <v>0</v>
      </c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</row>
    <row r="60" spans="1:33" x14ac:dyDescent="0.25">
      <c r="A60" s="85"/>
      <c r="B60" s="86" t="s">
        <v>64</v>
      </c>
      <c r="C60" s="87">
        <v>5</v>
      </c>
      <c r="D60" s="85">
        <v>11</v>
      </c>
      <c r="E60" s="85"/>
      <c r="F60" s="85"/>
      <c r="G60" s="85"/>
      <c r="H60" s="85">
        <v>14</v>
      </c>
      <c r="I60" s="85"/>
      <c r="J60" s="85"/>
      <c r="K60" s="85"/>
      <c r="L60" s="85"/>
      <c r="M60" s="85"/>
      <c r="N60" s="85">
        <v>10</v>
      </c>
      <c r="O60" s="85" t="s">
        <v>268</v>
      </c>
      <c r="P60" s="86"/>
      <c r="Q60" s="86">
        <f t="shared" si="0"/>
        <v>40</v>
      </c>
      <c r="R60" s="86">
        <f t="shared" si="1"/>
        <v>11.111111111111111</v>
      </c>
      <c r="S60" s="86">
        <f t="shared" si="2"/>
        <v>1.1111111111111112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</row>
    <row r="61" spans="1:33" x14ac:dyDescent="0.25">
      <c r="A61" s="85"/>
      <c r="B61" s="86" t="s">
        <v>65</v>
      </c>
      <c r="C61" s="87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 t="s">
        <v>268</v>
      </c>
      <c r="P61" s="86"/>
      <c r="Q61" s="86">
        <f t="shared" si="0"/>
        <v>0</v>
      </c>
      <c r="R61" s="86">
        <f t="shared" si="1"/>
        <v>0</v>
      </c>
      <c r="S61" s="86">
        <f t="shared" si="2"/>
        <v>0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</row>
    <row r="62" spans="1:33" x14ac:dyDescent="0.25">
      <c r="A62" s="85"/>
      <c r="B62" s="86" t="s">
        <v>66</v>
      </c>
      <c r="C62" s="87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 t="s">
        <v>268</v>
      </c>
      <c r="P62" s="86"/>
      <c r="Q62" s="86">
        <f t="shared" si="0"/>
        <v>0</v>
      </c>
      <c r="R62" s="86">
        <f t="shared" si="1"/>
        <v>0</v>
      </c>
      <c r="S62" s="86">
        <f t="shared" si="2"/>
        <v>0</v>
      </c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</row>
    <row r="63" spans="1:33" x14ac:dyDescent="0.25">
      <c r="A63" s="85"/>
      <c r="B63" s="86" t="s">
        <v>67</v>
      </c>
      <c r="C63" s="87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 t="s">
        <v>269</v>
      </c>
      <c r="P63" s="86"/>
      <c r="Q63" s="86">
        <f t="shared" si="0"/>
        <v>0</v>
      </c>
      <c r="R63" s="86">
        <f t="shared" si="1"/>
        <v>0</v>
      </c>
      <c r="S63" s="86">
        <f t="shared" si="2"/>
        <v>0</v>
      </c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</row>
    <row r="64" spans="1:33" x14ac:dyDescent="0.25">
      <c r="A64" s="85"/>
      <c r="B64" s="86" t="s">
        <v>69</v>
      </c>
      <c r="C64" s="87"/>
      <c r="D64" s="85"/>
      <c r="E64" s="85">
        <v>12</v>
      </c>
      <c r="F64" s="85">
        <v>17</v>
      </c>
      <c r="G64" s="85">
        <v>14</v>
      </c>
      <c r="H64" s="85">
        <v>16</v>
      </c>
      <c r="I64" s="85">
        <v>18</v>
      </c>
      <c r="J64" s="85">
        <v>17</v>
      </c>
      <c r="K64" s="85">
        <v>18</v>
      </c>
      <c r="L64" s="85">
        <v>17</v>
      </c>
      <c r="M64" s="85">
        <v>25</v>
      </c>
      <c r="N64" s="85">
        <v>16</v>
      </c>
      <c r="O64" s="85" t="s">
        <v>269</v>
      </c>
      <c r="P64" s="86"/>
      <c r="Q64" s="86">
        <f t="shared" si="0"/>
        <v>170</v>
      </c>
      <c r="R64" s="86">
        <f t="shared" si="1"/>
        <v>47.222222222222221</v>
      </c>
      <c r="S64" s="86">
        <f t="shared" si="2"/>
        <v>4.7222222222222223</v>
      </c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</row>
    <row r="65" spans="1:33" x14ac:dyDescent="0.25">
      <c r="A65" s="85"/>
      <c r="B65" s="86" t="s">
        <v>306</v>
      </c>
      <c r="C65" s="87">
        <v>8</v>
      </c>
      <c r="D65" s="85">
        <v>20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 t="s">
        <v>269</v>
      </c>
      <c r="P65" s="86"/>
      <c r="Q65" s="86">
        <f t="shared" si="0"/>
        <v>28</v>
      </c>
      <c r="R65" s="86">
        <f t="shared" si="1"/>
        <v>7.7777777777777777</v>
      </c>
      <c r="S65" s="86">
        <f t="shared" si="2"/>
        <v>0.77777777777777779</v>
      </c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</row>
    <row r="66" spans="1:33" x14ac:dyDescent="0.25">
      <c r="A66" s="85"/>
      <c r="B66" s="86" t="s">
        <v>307</v>
      </c>
      <c r="C66" s="87">
        <v>16</v>
      </c>
      <c r="D66" s="85"/>
      <c r="E66" s="85"/>
      <c r="F66" s="85">
        <v>19</v>
      </c>
      <c r="G66" s="85">
        <v>16</v>
      </c>
      <c r="H66" s="85"/>
      <c r="I66" s="85"/>
      <c r="J66" s="85"/>
      <c r="K66" s="85"/>
      <c r="L66" s="85"/>
      <c r="M66" s="85"/>
      <c r="N66" s="85"/>
      <c r="O66" s="85" t="s">
        <v>269</v>
      </c>
      <c r="P66" s="86"/>
      <c r="Q66" s="86">
        <f t="shared" si="0"/>
        <v>51</v>
      </c>
      <c r="R66" s="86">
        <f t="shared" si="1"/>
        <v>14.166666666666666</v>
      </c>
      <c r="S66" s="86">
        <f t="shared" si="2"/>
        <v>1.4166666666666667</v>
      </c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</row>
    <row r="67" spans="1:33" x14ac:dyDescent="0.25">
      <c r="A67" s="85"/>
      <c r="B67" s="86" t="s">
        <v>308</v>
      </c>
      <c r="C67" s="87"/>
      <c r="D67" s="85"/>
      <c r="E67" s="85"/>
      <c r="F67" s="85"/>
      <c r="G67" s="85"/>
      <c r="H67" s="85"/>
      <c r="I67" s="85"/>
      <c r="J67" s="85"/>
      <c r="K67" s="85"/>
      <c r="L67" s="85">
        <v>16</v>
      </c>
      <c r="M67" s="85"/>
      <c r="N67" s="85">
        <v>20</v>
      </c>
      <c r="O67" s="85" t="s">
        <v>309</v>
      </c>
      <c r="P67" s="86"/>
      <c r="Q67" s="86">
        <f t="shared" ref="Q67:Q130" si="3">SUM(C67:N67)</f>
        <v>36</v>
      </c>
      <c r="R67" s="86">
        <f t="shared" ref="R67:R130" si="4">(Q67/360)*100</f>
        <v>10</v>
      </c>
      <c r="S67" s="86">
        <f t="shared" ref="S67:S130" si="5">R67*0.1</f>
        <v>1</v>
      </c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</row>
    <row r="68" spans="1:33" x14ac:dyDescent="0.25">
      <c r="A68" s="85"/>
      <c r="B68" s="86" t="s">
        <v>71</v>
      </c>
      <c r="C68" s="87"/>
      <c r="D68" s="85">
        <v>21</v>
      </c>
      <c r="E68" s="85">
        <v>16</v>
      </c>
      <c r="F68" s="85"/>
      <c r="G68" s="85">
        <v>21</v>
      </c>
      <c r="H68" s="85">
        <v>21</v>
      </c>
      <c r="I68" s="85">
        <v>14</v>
      </c>
      <c r="J68" s="85">
        <v>7</v>
      </c>
      <c r="K68" s="85"/>
      <c r="L68" s="85"/>
      <c r="M68" s="85"/>
      <c r="N68" s="85">
        <v>19</v>
      </c>
      <c r="O68" s="85" t="s">
        <v>272</v>
      </c>
      <c r="P68" s="86"/>
      <c r="Q68" s="86">
        <f t="shared" si="3"/>
        <v>119</v>
      </c>
      <c r="R68" s="86">
        <f t="shared" si="4"/>
        <v>33.055555555555557</v>
      </c>
      <c r="S68" s="86">
        <f t="shared" si="5"/>
        <v>3.3055555555555558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</row>
    <row r="69" spans="1:33" x14ac:dyDescent="0.25">
      <c r="A69" s="85"/>
      <c r="B69" s="86" t="s">
        <v>72</v>
      </c>
      <c r="C69" s="87"/>
      <c r="D69" s="85">
        <v>15</v>
      </c>
      <c r="E69" s="85"/>
      <c r="F69" s="85"/>
      <c r="G69" s="85"/>
      <c r="H69" s="85"/>
      <c r="I69" s="85"/>
      <c r="J69" s="85"/>
      <c r="K69" s="85">
        <v>21</v>
      </c>
      <c r="L69" s="85"/>
      <c r="M69" s="85"/>
      <c r="N69" s="85"/>
      <c r="O69" s="85" t="s">
        <v>272</v>
      </c>
      <c r="P69" s="86"/>
      <c r="Q69" s="86">
        <f t="shared" si="3"/>
        <v>36</v>
      </c>
      <c r="R69" s="86">
        <f t="shared" si="4"/>
        <v>10</v>
      </c>
      <c r="S69" s="86">
        <f t="shared" si="5"/>
        <v>1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</row>
    <row r="70" spans="1:33" x14ac:dyDescent="0.25">
      <c r="A70" s="85"/>
      <c r="B70" s="86" t="s">
        <v>73</v>
      </c>
      <c r="C70" s="87">
        <v>17</v>
      </c>
      <c r="D70" s="85">
        <v>20</v>
      </c>
      <c r="E70" s="85">
        <v>16</v>
      </c>
      <c r="F70" s="85">
        <v>18</v>
      </c>
      <c r="G70" s="85">
        <v>18</v>
      </c>
      <c r="H70" s="85">
        <v>17</v>
      </c>
      <c r="I70" s="85">
        <v>23</v>
      </c>
      <c r="J70" s="85">
        <v>14</v>
      </c>
      <c r="K70" s="85"/>
      <c r="L70" s="85"/>
      <c r="M70" s="85"/>
      <c r="N70" s="85">
        <v>21</v>
      </c>
      <c r="O70" s="85" t="s">
        <v>272</v>
      </c>
      <c r="P70" s="86"/>
      <c r="Q70" s="86">
        <f t="shared" si="3"/>
        <v>164</v>
      </c>
      <c r="R70" s="86">
        <f t="shared" si="4"/>
        <v>45.555555555555557</v>
      </c>
      <c r="S70" s="86">
        <f t="shared" si="5"/>
        <v>4.5555555555555562</v>
      </c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</row>
    <row r="71" spans="1:33" x14ac:dyDescent="0.25">
      <c r="A71" s="85"/>
      <c r="B71" s="86" t="s">
        <v>74</v>
      </c>
      <c r="C71" s="87"/>
      <c r="D71" s="85">
        <v>22</v>
      </c>
      <c r="E71" s="85"/>
      <c r="F71" s="85">
        <v>19</v>
      </c>
      <c r="G71" s="85"/>
      <c r="H71" s="85"/>
      <c r="I71" s="85">
        <v>19</v>
      </c>
      <c r="J71" s="85">
        <v>20</v>
      </c>
      <c r="K71" s="85"/>
      <c r="L71" s="85"/>
      <c r="M71" s="85"/>
      <c r="N71" s="85">
        <v>16</v>
      </c>
      <c r="O71" s="85" t="s">
        <v>272</v>
      </c>
      <c r="P71" s="86"/>
      <c r="Q71" s="86">
        <f t="shared" si="3"/>
        <v>96</v>
      </c>
      <c r="R71" s="86">
        <f t="shared" si="4"/>
        <v>26.666666666666668</v>
      </c>
      <c r="S71" s="86">
        <f t="shared" si="5"/>
        <v>2.666666666666667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</row>
    <row r="72" spans="1:33" x14ac:dyDescent="0.25">
      <c r="A72" s="85"/>
      <c r="B72" s="86" t="s">
        <v>75</v>
      </c>
      <c r="C72" s="87">
        <v>26</v>
      </c>
      <c r="D72" s="85">
        <v>28</v>
      </c>
      <c r="E72" s="85"/>
      <c r="F72" s="85"/>
      <c r="G72" s="85"/>
      <c r="H72" s="85"/>
      <c r="I72" s="85">
        <v>27</v>
      </c>
      <c r="J72" s="85">
        <v>25</v>
      </c>
      <c r="K72" s="85"/>
      <c r="L72" s="85"/>
      <c r="M72" s="85"/>
      <c r="N72" s="85"/>
      <c r="O72" s="85" t="s">
        <v>272</v>
      </c>
      <c r="P72" s="86"/>
      <c r="Q72" s="86">
        <f t="shared" si="3"/>
        <v>106</v>
      </c>
      <c r="R72" s="86">
        <f t="shared" si="4"/>
        <v>29.444444444444446</v>
      </c>
      <c r="S72" s="86">
        <f t="shared" si="5"/>
        <v>2.9444444444444446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</row>
    <row r="73" spans="1:33" x14ac:dyDescent="0.25">
      <c r="A73" s="85"/>
      <c r="B73" s="86" t="s">
        <v>76</v>
      </c>
      <c r="C73" s="87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 t="s">
        <v>272</v>
      </c>
      <c r="P73" s="86"/>
      <c r="Q73" s="86">
        <f t="shared" si="3"/>
        <v>0</v>
      </c>
      <c r="R73" s="86">
        <f t="shared" si="4"/>
        <v>0</v>
      </c>
      <c r="S73" s="86">
        <f t="shared" si="5"/>
        <v>0</v>
      </c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</row>
    <row r="74" spans="1:33" x14ac:dyDescent="0.25">
      <c r="A74" s="85"/>
      <c r="B74" s="86" t="s">
        <v>77</v>
      </c>
      <c r="C74" s="87">
        <v>26</v>
      </c>
      <c r="D74" s="85">
        <v>18</v>
      </c>
      <c r="E74" s="85">
        <v>28</v>
      </c>
      <c r="F74" s="85">
        <v>30</v>
      </c>
      <c r="G74" s="85">
        <v>14</v>
      </c>
      <c r="H74" s="85">
        <v>17</v>
      </c>
      <c r="I74" s="85">
        <v>17</v>
      </c>
      <c r="J74" s="85">
        <v>13</v>
      </c>
      <c r="K74" s="85">
        <v>23</v>
      </c>
      <c r="L74" s="85">
        <v>21</v>
      </c>
      <c r="M74" s="85">
        <v>27</v>
      </c>
      <c r="N74" s="85">
        <v>24</v>
      </c>
      <c r="O74" s="85" t="s">
        <v>272</v>
      </c>
      <c r="P74" s="86"/>
      <c r="Q74" s="86">
        <f t="shared" si="3"/>
        <v>258</v>
      </c>
      <c r="R74" s="86">
        <f t="shared" si="4"/>
        <v>71.666666666666671</v>
      </c>
      <c r="S74" s="86">
        <f t="shared" si="5"/>
        <v>7.1666666666666679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</row>
    <row r="75" spans="1:33" x14ac:dyDescent="0.25">
      <c r="A75" s="85"/>
      <c r="B75" s="86" t="s">
        <v>78</v>
      </c>
      <c r="C75" s="87">
        <v>14</v>
      </c>
      <c r="D75" s="85">
        <v>14</v>
      </c>
      <c r="E75" s="85">
        <v>14</v>
      </c>
      <c r="F75" s="85">
        <v>17</v>
      </c>
      <c r="G75" s="85">
        <v>9</v>
      </c>
      <c r="H75" s="85">
        <v>17</v>
      </c>
      <c r="I75" s="85">
        <v>16</v>
      </c>
      <c r="J75" s="85">
        <v>11</v>
      </c>
      <c r="K75" s="85">
        <v>17</v>
      </c>
      <c r="L75" s="85">
        <v>16</v>
      </c>
      <c r="M75" s="85">
        <v>27</v>
      </c>
      <c r="N75" s="85">
        <v>20</v>
      </c>
      <c r="O75" s="85" t="s">
        <v>272</v>
      </c>
      <c r="P75" s="86"/>
      <c r="Q75" s="86">
        <f t="shared" si="3"/>
        <v>192</v>
      </c>
      <c r="R75" s="86">
        <f t="shared" si="4"/>
        <v>53.333333333333336</v>
      </c>
      <c r="S75" s="86">
        <f t="shared" si="5"/>
        <v>5.3333333333333339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</row>
    <row r="76" spans="1:33" x14ac:dyDescent="0.25">
      <c r="A76" s="85"/>
      <c r="B76" s="86" t="s">
        <v>79</v>
      </c>
      <c r="C76" s="87"/>
      <c r="D76" s="85">
        <v>11</v>
      </c>
      <c r="E76" s="85"/>
      <c r="F76" s="85"/>
      <c r="G76" s="85">
        <v>14</v>
      </c>
      <c r="H76" s="85">
        <v>6</v>
      </c>
      <c r="I76" s="85">
        <v>15</v>
      </c>
      <c r="J76" s="85">
        <v>12</v>
      </c>
      <c r="K76" s="85">
        <v>18</v>
      </c>
      <c r="L76" s="85">
        <v>15</v>
      </c>
      <c r="M76" s="85"/>
      <c r="N76" s="85">
        <v>18</v>
      </c>
      <c r="O76" s="85" t="s">
        <v>272</v>
      </c>
      <c r="P76" s="86"/>
      <c r="Q76" s="86">
        <f t="shared" si="3"/>
        <v>109</v>
      </c>
      <c r="R76" s="86">
        <f t="shared" si="4"/>
        <v>30.277777777777775</v>
      </c>
      <c r="S76" s="86">
        <f t="shared" si="5"/>
        <v>3.0277777777777777</v>
      </c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</row>
    <row r="77" spans="1:33" x14ac:dyDescent="0.25">
      <c r="A77" s="85"/>
      <c r="B77" s="86" t="s">
        <v>80</v>
      </c>
      <c r="C77" s="87"/>
      <c r="D77" s="85">
        <v>18</v>
      </c>
      <c r="E77" s="85">
        <v>16</v>
      </c>
      <c r="F77" s="85">
        <v>19</v>
      </c>
      <c r="G77" s="85">
        <v>21</v>
      </c>
      <c r="H77" s="85">
        <v>15</v>
      </c>
      <c r="I77" s="85">
        <v>15</v>
      </c>
      <c r="J77" s="85">
        <v>21</v>
      </c>
      <c r="K77" s="85">
        <v>26</v>
      </c>
      <c r="L77" s="85">
        <v>21</v>
      </c>
      <c r="M77" s="85"/>
      <c r="N77" s="85"/>
      <c r="O77" s="85" t="s">
        <v>272</v>
      </c>
      <c r="P77" s="86"/>
      <c r="Q77" s="86">
        <f t="shared" si="3"/>
        <v>172</v>
      </c>
      <c r="R77" s="86">
        <f t="shared" si="4"/>
        <v>47.777777777777779</v>
      </c>
      <c r="S77" s="86">
        <f t="shared" si="5"/>
        <v>4.7777777777777777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</row>
    <row r="78" spans="1:33" x14ac:dyDescent="0.25">
      <c r="A78" s="85"/>
      <c r="B78" s="86" t="s">
        <v>310</v>
      </c>
      <c r="C78" s="87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 t="s">
        <v>272</v>
      </c>
      <c r="P78" s="86"/>
      <c r="Q78" s="86">
        <f t="shared" si="3"/>
        <v>0</v>
      </c>
      <c r="R78" s="86">
        <f t="shared" si="4"/>
        <v>0</v>
      </c>
      <c r="S78" s="86">
        <f t="shared" si="5"/>
        <v>0</v>
      </c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</row>
    <row r="79" spans="1:33" x14ac:dyDescent="0.25">
      <c r="A79" s="85"/>
      <c r="B79" s="86" t="s">
        <v>82</v>
      </c>
      <c r="C79" s="87">
        <v>21</v>
      </c>
      <c r="D79" s="85">
        <v>16</v>
      </c>
      <c r="E79" s="85">
        <v>28</v>
      </c>
      <c r="F79" s="85">
        <v>30</v>
      </c>
      <c r="G79" s="85">
        <v>16</v>
      </c>
      <c r="H79" s="85">
        <v>12</v>
      </c>
      <c r="I79" s="85">
        <v>16</v>
      </c>
      <c r="J79" s="85">
        <v>12</v>
      </c>
      <c r="K79" s="85">
        <v>13</v>
      </c>
      <c r="L79" s="85">
        <v>20</v>
      </c>
      <c r="M79" s="85"/>
      <c r="N79" s="85">
        <v>16</v>
      </c>
      <c r="O79" s="85" t="s">
        <v>272</v>
      </c>
      <c r="P79" s="86"/>
      <c r="Q79" s="86">
        <f t="shared" si="3"/>
        <v>200</v>
      </c>
      <c r="R79" s="86">
        <f t="shared" si="4"/>
        <v>55.555555555555557</v>
      </c>
      <c r="S79" s="86">
        <f t="shared" si="5"/>
        <v>5.5555555555555562</v>
      </c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</row>
    <row r="80" spans="1:33" x14ac:dyDescent="0.25">
      <c r="A80" s="85"/>
      <c r="B80" s="86" t="s">
        <v>83</v>
      </c>
      <c r="C80" s="87">
        <v>4</v>
      </c>
      <c r="D80" s="85">
        <v>8</v>
      </c>
      <c r="E80" s="85">
        <v>7</v>
      </c>
      <c r="F80" s="85">
        <v>14</v>
      </c>
      <c r="G80" s="85">
        <v>11</v>
      </c>
      <c r="H80" s="85">
        <v>6</v>
      </c>
      <c r="I80" s="85"/>
      <c r="J80" s="85">
        <v>9</v>
      </c>
      <c r="K80" s="85">
        <v>13</v>
      </c>
      <c r="L80" s="85">
        <v>12</v>
      </c>
      <c r="M80" s="85">
        <v>19</v>
      </c>
      <c r="N80" s="85">
        <v>16</v>
      </c>
      <c r="O80" s="85" t="s">
        <v>272</v>
      </c>
      <c r="P80" s="86"/>
      <c r="Q80" s="86">
        <f t="shared" si="3"/>
        <v>119</v>
      </c>
      <c r="R80" s="86">
        <f t="shared" si="4"/>
        <v>33.055555555555557</v>
      </c>
      <c r="S80" s="86">
        <f t="shared" si="5"/>
        <v>3.3055555555555558</v>
      </c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</row>
    <row r="81" spans="1:33" x14ac:dyDescent="0.25">
      <c r="A81" s="85"/>
      <c r="B81" s="86" t="s">
        <v>84</v>
      </c>
      <c r="C81" s="87">
        <v>25</v>
      </c>
      <c r="D81" s="85">
        <v>28</v>
      </c>
      <c r="E81" s="85">
        <v>27</v>
      </c>
      <c r="F81" s="85">
        <v>29</v>
      </c>
      <c r="G81" s="85">
        <v>30</v>
      </c>
      <c r="H81" s="85">
        <v>4</v>
      </c>
      <c r="I81" s="85">
        <v>28</v>
      </c>
      <c r="J81" s="85">
        <v>25</v>
      </c>
      <c r="K81" s="85">
        <v>21</v>
      </c>
      <c r="L81" s="85">
        <v>28</v>
      </c>
      <c r="M81" s="85">
        <v>28</v>
      </c>
      <c r="N81" s="85">
        <v>25</v>
      </c>
      <c r="O81" s="85" t="s">
        <v>272</v>
      </c>
      <c r="P81" s="86"/>
      <c r="Q81" s="86">
        <f t="shared" si="3"/>
        <v>298</v>
      </c>
      <c r="R81" s="86">
        <f t="shared" si="4"/>
        <v>82.777777777777771</v>
      </c>
      <c r="S81" s="86">
        <f t="shared" si="5"/>
        <v>8.2777777777777768</v>
      </c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</row>
    <row r="82" spans="1:33" x14ac:dyDescent="0.25">
      <c r="A82" s="85"/>
      <c r="B82" s="86" t="s">
        <v>85</v>
      </c>
      <c r="C82" s="87"/>
      <c r="D82" s="85"/>
      <c r="E82" s="85">
        <v>27</v>
      </c>
      <c r="F82" s="85"/>
      <c r="G82" s="85"/>
      <c r="H82" s="85"/>
      <c r="I82" s="85">
        <v>23</v>
      </c>
      <c r="J82" s="85">
        <v>21</v>
      </c>
      <c r="K82" s="85"/>
      <c r="L82" s="85"/>
      <c r="M82" s="85">
        <v>28</v>
      </c>
      <c r="N82" s="85">
        <v>23</v>
      </c>
      <c r="O82" s="85" t="s">
        <v>272</v>
      </c>
      <c r="P82" s="86"/>
      <c r="Q82" s="86">
        <f t="shared" si="3"/>
        <v>122</v>
      </c>
      <c r="R82" s="86">
        <f t="shared" si="4"/>
        <v>33.888888888888893</v>
      </c>
      <c r="S82" s="86">
        <f t="shared" si="5"/>
        <v>3.3888888888888893</v>
      </c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</row>
    <row r="83" spans="1:33" x14ac:dyDescent="0.25">
      <c r="A83" s="85"/>
      <c r="B83" s="86" t="s">
        <v>86</v>
      </c>
      <c r="C83" s="87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 t="s">
        <v>272</v>
      </c>
      <c r="P83" s="86"/>
      <c r="Q83" s="86">
        <f t="shared" si="3"/>
        <v>0</v>
      </c>
      <c r="R83" s="86">
        <f t="shared" si="4"/>
        <v>0</v>
      </c>
      <c r="S83" s="86">
        <f t="shared" si="5"/>
        <v>0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</row>
    <row r="84" spans="1:33" x14ac:dyDescent="0.25">
      <c r="A84" s="85"/>
      <c r="B84" s="86" t="s">
        <v>87</v>
      </c>
      <c r="C84" s="87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 t="s">
        <v>272</v>
      </c>
      <c r="P84" s="86"/>
      <c r="Q84" s="86">
        <f t="shared" si="3"/>
        <v>0</v>
      </c>
      <c r="R84" s="86">
        <f t="shared" si="4"/>
        <v>0</v>
      </c>
      <c r="S84" s="86">
        <f t="shared" si="5"/>
        <v>0</v>
      </c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</row>
    <row r="85" spans="1:33" x14ac:dyDescent="0.25">
      <c r="A85" s="85"/>
      <c r="B85" s="86" t="s">
        <v>88</v>
      </c>
      <c r="C85" s="87">
        <v>29</v>
      </c>
      <c r="D85" s="85">
        <v>28</v>
      </c>
      <c r="E85" s="85">
        <v>28</v>
      </c>
      <c r="F85" s="85">
        <v>30</v>
      </c>
      <c r="G85" s="85">
        <v>30</v>
      </c>
      <c r="H85" s="85">
        <v>28</v>
      </c>
      <c r="I85" s="85">
        <v>28</v>
      </c>
      <c r="J85" s="85">
        <v>26</v>
      </c>
      <c r="K85" s="85">
        <v>30</v>
      </c>
      <c r="L85" s="85">
        <v>27</v>
      </c>
      <c r="M85" s="85">
        <v>30</v>
      </c>
      <c r="N85" s="85">
        <v>28</v>
      </c>
      <c r="O85" s="85" t="s">
        <v>272</v>
      </c>
      <c r="P85" s="86"/>
      <c r="Q85" s="86">
        <f t="shared" si="3"/>
        <v>342</v>
      </c>
      <c r="R85" s="86">
        <f t="shared" si="4"/>
        <v>95</v>
      </c>
      <c r="S85" s="86">
        <f t="shared" si="5"/>
        <v>9.5</v>
      </c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</row>
    <row r="86" spans="1:33" x14ac:dyDescent="0.25">
      <c r="A86" s="85"/>
      <c r="B86" s="86" t="s">
        <v>89</v>
      </c>
      <c r="C86" s="87">
        <v>8</v>
      </c>
      <c r="D86" s="85">
        <v>12</v>
      </c>
      <c r="E86" s="85">
        <v>7</v>
      </c>
      <c r="F86" s="85">
        <v>17</v>
      </c>
      <c r="G86" s="85">
        <v>9</v>
      </c>
      <c r="H86" s="85">
        <v>19</v>
      </c>
      <c r="I86" s="85">
        <v>6</v>
      </c>
      <c r="J86" s="85"/>
      <c r="K86" s="85"/>
      <c r="L86" s="85"/>
      <c r="M86" s="85">
        <v>27</v>
      </c>
      <c r="N86" s="85">
        <v>23</v>
      </c>
      <c r="O86" s="85" t="s">
        <v>272</v>
      </c>
      <c r="P86" s="86"/>
      <c r="Q86" s="86">
        <f t="shared" si="3"/>
        <v>128</v>
      </c>
      <c r="R86" s="86">
        <f t="shared" si="4"/>
        <v>35.555555555555557</v>
      </c>
      <c r="S86" s="86">
        <f t="shared" si="5"/>
        <v>3.5555555555555558</v>
      </c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</row>
    <row r="87" spans="1:33" x14ac:dyDescent="0.25">
      <c r="A87" s="85"/>
      <c r="B87" s="86" t="s">
        <v>90</v>
      </c>
      <c r="C87" s="87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 t="s">
        <v>272</v>
      </c>
      <c r="P87" s="86"/>
      <c r="Q87" s="86">
        <f t="shared" si="3"/>
        <v>0</v>
      </c>
      <c r="R87" s="86">
        <f t="shared" si="4"/>
        <v>0</v>
      </c>
      <c r="S87" s="86">
        <f t="shared" si="5"/>
        <v>0</v>
      </c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</row>
    <row r="88" spans="1:33" x14ac:dyDescent="0.25">
      <c r="A88" s="85"/>
      <c r="B88" s="86" t="s">
        <v>91</v>
      </c>
      <c r="C88" s="87">
        <v>20</v>
      </c>
      <c r="D88" s="85">
        <v>22</v>
      </c>
      <c r="E88" s="85">
        <v>21</v>
      </c>
      <c r="F88" s="85">
        <v>23</v>
      </c>
      <c r="G88" s="85">
        <v>25</v>
      </c>
      <c r="H88" s="85">
        <v>22</v>
      </c>
      <c r="I88" s="85">
        <v>22</v>
      </c>
      <c r="J88" s="85">
        <v>20</v>
      </c>
      <c r="K88" s="85"/>
      <c r="L88" s="85"/>
      <c r="M88" s="85">
        <v>29</v>
      </c>
      <c r="N88" s="85">
        <v>24</v>
      </c>
      <c r="O88" s="85" t="s">
        <v>272</v>
      </c>
      <c r="P88" s="86"/>
      <c r="Q88" s="86">
        <f t="shared" si="3"/>
        <v>228</v>
      </c>
      <c r="R88" s="86">
        <f t="shared" si="4"/>
        <v>63.333333333333329</v>
      </c>
      <c r="S88" s="86">
        <f t="shared" si="5"/>
        <v>6.333333333333333</v>
      </c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</row>
    <row r="89" spans="1:33" x14ac:dyDescent="0.25">
      <c r="A89" s="85"/>
      <c r="B89" s="86" t="s">
        <v>92</v>
      </c>
      <c r="C89" s="87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 t="s">
        <v>272</v>
      </c>
      <c r="P89" s="86"/>
      <c r="Q89" s="86">
        <f t="shared" si="3"/>
        <v>0</v>
      </c>
      <c r="R89" s="86">
        <f t="shared" si="4"/>
        <v>0</v>
      </c>
      <c r="S89" s="86">
        <f t="shared" si="5"/>
        <v>0</v>
      </c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</row>
    <row r="90" spans="1:33" x14ac:dyDescent="0.25">
      <c r="A90" s="85"/>
      <c r="B90" s="86" t="s">
        <v>93</v>
      </c>
      <c r="C90" s="87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 t="s">
        <v>272</v>
      </c>
      <c r="P90" s="86"/>
      <c r="Q90" s="86">
        <f t="shared" si="3"/>
        <v>0</v>
      </c>
      <c r="R90" s="86">
        <f t="shared" si="4"/>
        <v>0</v>
      </c>
      <c r="S90" s="86">
        <f t="shared" si="5"/>
        <v>0</v>
      </c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</row>
    <row r="91" spans="1:33" x14ac:dyDescent="0.25">
      <c r="A91" s="85"/>
      <c r="B91" s="86" t="s">
        <v>94</v>
      </c>
      <c r="C91" s="87">
        <v>25</v>
      </c>
      <c r="D91" s="85">
        <v>26</v>
      </c>
      <c r="E91" s="85">
        <v>23</v>
      </c>
      <c r="F91" s="85">
        <v>23</v>
      </c>
      <c r="G91" s="85"/>
      <c r="H91" s="85">
        <v>24</v>
      </c>
      <c r="I91" s="85">
        <v>28</v>
      </c>
      <c r="J91" s="85">
        <v>25</v>
      </c>
      <c r="K91" s="85">
        <v>30</v>
      </c>
      <c r="L91" s="85">
        <v>29</v>
      </c>
      <c r="M91" s="85">
        <v>30</v>
      </c>
      <c r="N91" s="85">
        <v>27</v>
      </c>
      <c r="O91" s="85" t="s">
        <v>272</v>
      </c>
      <c r="P91" s="86"/>
      <c r="Q91" s="86">
        <f t="shared" si="3"/>
        <v>290</v>
      </c>
      <c r="R91" s="86">
        <f t="shared" si="4"/>
        <v>80.555555555555557</v>
      </c>
      <c r="S91" s="86">
        <f t="shared" si="5"/>
        <v>8.0555555555555554</v>
      </c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</row>
    <row r="92" spans="1:33" x14ac:dyDescent="0.25">
      <c r="A92" s="85"/>
      <c r="B92" s="86" t="s">
        <v>95</v>
      </c>
      <c r="C92" s="87"/>
      <c r="D92" s="85"/>
      <c r="E92" s="85">
        <v>28</v>
      </c>
      <c r="F92" s="85">
        <v>30</v>
      </c>
      <c r="G92" s="85"/>
      <c r="H92" s="85"/>
      <c r="I92" s="85">
        <v>24</v>
      </c>
      <c r="J92" s="85">
        <v>27</v>
      </c>
      <c r="K92" s="85"/>
      <c r="L92" s="85"/>
      <c r="M92" s="85">
        <v>30</v>
      </c>
      <c r="N92" s="85"/>
      <c r="O92" s="85" t="s">
        <v>272</v>
      </c>
      <c r="P92" s="86"/>
      <c r="Q92" s="86">
        <f t="shared" si="3"/>
        <v>139</v>
      </c>
      <c r="R92" s="86">
        <f t="shared" si="4"/>
        <v>38.611111111111114</v>
      </c>
      <c r="S92" s="86">
        <f t="shared" si="5"/>
        <v>3.8611111111111116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</row>
    <row r="93" spans="1:33" x14ac:dyDescent="0.25">
      <c r="A93" s="85"/>
      <c r="B93" s="86" t="s">
        <v>311</v>
      </c>
      <c r="C93" s="87"/>
      <c r="D93" s="85"/>
      <c r="E93" s="85">
        <v>5</v>
      </c>
      <c r="F93" s="85">
        <v>17</v>
      </c>
      <c r="G93" s="85"/>
      <c r="H93" s="85"/>
      <c r="I93" s="85">
        <v>13</v>
      </c>
      <c r="J93" s="85">
        <v>11</v>
      </c>
      <c r="K93" s="85">
        <v>27</v>
      </c>
      <c r="L93" s="85"/>
      <c r="M93" s="85">
        <v>21</v>
      </c>
      <c r="N93" s="85">
        <v>16</v>
      </c>
      <c r="O93" s="85" t="s">
        <v>272</v>
      </c>
      <c r="P93" s="86"/>
      <c r="Q93" s="86">
        <f t="shared" si="3"/>
        <v>110</v>
      </c>
      <c r="R93" s="86">
        <f t="shared" si="4"/>
        <v>30.555555555555557</v>
      </c>
      <c r="S93" s="86">
        <f t="shared" si="5"/>
        <v>3.0555555555555558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</row>
    <row r="94" spans="1:33" x14ac:dyDescent="0.25">
      <c r="A94" s="85"/>
      <c r="B94" s="86" t="s">
        <v>97</v>
      </c>
      <c r="C94" s="87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 t="s">
        <v>272</v>
      </c>
      <c r="P94" s="86"/>
      <c r="Q94" s="86">
        <f t="shared" si="3"/>
        <v>0</v>
      </c>
      <c r="R94" s="86">
        <f t="shared" si="4"/>
        <v>0</v>
      </c>
      <c r="S94" s="86">
        <f t="shared" si="5"/>
        <v>0</v>
      </c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</row>
    <row r="95" spans="1:33" x14ac:dyDescent="0.25">
      <c r="A95" s="85"/>
      <c r="B95" s="86" t="s">
        <v>98</v>
      </c>
      <c r="C95" s="87"/>
      <c r="D95" s="85"/>
      <c r="E95" s="85">
        <v>16</v>
      </c>
      <c r="F95" s="85"/>
      <c r="G95" s="85">
        <v>20</v>
      </c>
      <c r="H95" s="85">
        <v>14</v>
      </c>
      <c r="I95" s="85">
        <v>18</v>
      </c>
      <c r="J95" s="85">
        <v>11</v>
      </c>
      <c r="K95" s="85"/>
      <c r="L95" s="85">
        <v>17</v>
      </c>
      <c r="M95" s="85">
        <v>17</v>
      </c>
      <c r="N95" s="85"/>
      <c r="O95" s="85" t="s">
        <v>272</v>
      </c>
      <c r="P95" s="86"/>
      <c r="Q95" s="86">
        <f t="shared" si="3"/>
        <v>113</v>
      </c>
      <c r="R95" s="86">
        <f t="shared" si="4"/>
        <v>31.388888888888889</v>
      </c>
      <c r="S95" s="86">
        <f t="shared" si="5"/>
        <v>3.1388888888888893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</row>
    <row r="96" spans="1:33" x14ac:dyDescent="0.25">
      <c r="A96" s="85"/>
      <c r="B96" s="86" t="s">
        <v>99</v>
      </c>
      <c r="C96" s="87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 t="s">
        <v>272</v>
      </c>
      <c r="P96" s="86"/>
      <c r="Q96" s="86">
        <f t="shared" si="3"/>
        <v>0</v>
      </c>
      <c r="R96" s="86">
        <f t="shared" si="4"/>
        <v>0</v>
      </c>
      <c r="S96" s="86">
        <f t="shared" si="5"/>
        <v>0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</row>
    <row r="97" spans="1:33" x14ac:dyDescent="0.25">
      <c r="A97" s="85"/>
      <c r="B97" s="86" t="s">
        <v>100</v>
      </c>
      <c r="C97" s="87"/>
      <c r="D97" s="85">
        <v>21</v>
      </c>
      <c r="E97" s="85">
        <v>15</v>
      </c>
      <c r="F97" s="85">
        <v>19</v>
      </c>
      <c r="G97" s="85">
        <v>15</v>
      </c>
      <c r="H97" s="85">
        <v>17</v>
      </c>
      <c r="I97" s="85">
        <v>20</v>
      </c>
      <c r="J97" s="85">
        <v>14</v>
      </c>
      <c r="K97" s="85"/>
      <c r="L97" s="85">
        <v>19</v>
      </c>
      <c r="M97" s="85">
        <v>24</v>
      </c>
      <c r="N97" s="85">
        <v>21</v>
      </c>
      <c r="O97" s="85" t="s">
        <v>272</v>
      </c>
      <c r="P97" s="86"/>
      <c r="Q97" s="86">
        <f t="shared" si="3"/>
        <v>185</v>
      </c>
      <c r="R97" s="86">
        <f t="shared" si="4"/>
        <v>51.388888888888886</v>
      </c>
      <c r="S97" s="86">
        <f t="shared" si="5"/>
        <v>5.1388888888888893</v>
      </c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</row>
    <row r="98" spans="1:33" x14ac:dyDescent="0.25">
      <c r="A98" s="85"/>
      <c r="B98" s="86" t="s">
        <v>101</v>
      </c>
      <c r="C98" s="87"/>
      <c r="D98" s="85"/>
      <c r="E98" s="85">
        <v>4</v>
      </c>
      <c r="F98" s="85">
        <v>16</v>
      </c>
      <c r="G98" s="85">
        <v>9</v>
      </c>
      <c r="H98" s="85">
        <v>6</v>
      </c>
      <c r="I98" s="85"/>
      <c r="J98" s="85"/>
      <c r="K98" s="85">
        <v>12</v>
      </c>
      <c r="L98" s="85">
        <v>12</v>
      </c>
      <c r="M98" s="85"/>
      <c r="N98" s="85">
        <v>20</v>
      </c>
      <c r="O98" s="85" t="s">
        <v>272</v>
      </c>
      <c r="P98" s="86"/>
      <c r="Q98" s="86">
        <f t="shared" si="3"/>
        <v>79</v>
      </c>
      <c r="R98" s="86">
        <f t="shared" si="4"/>
        <v>21.944444444444443</v>
      </c>
      <c r="S98" s="86">
        <f t="shared" si="5"/>
        <v>2.1944444444444442</v>
      </c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</row>
    <row r="99" spans="1:33" x14ac:dyDescent="0.25">
      <c r="A99" s="85"/>
      <c r="B99" s="86" t="s">
        <v>102</v>
      </c>
      <c r="C99" s="87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 t="s">
        <v>273</v>
      </c>
      <c r="P99" s="86"/>
      <c r="Q99" s="86">
        <f t="shared" si="3"/>
        <v>0</v>
      </c>
      <c r="R99" s="86">
        <f t="shared" si="4"/>
        <v>0</v>
      </c>
      <c r="S99" s="86">
        <f t="shared" si="5"/>
        <v>0</v>
      </c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</row>
    <row r="100" spans="1:33" x14ac:dyDescent="0.25">
      <c r="A100" s="85"/>
      <c r="B100" s="86" t="s">
        <v>103</v>
      </c>
      <c r="C100" s="87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 t="s">
        <v>273</v>
      </c>
      <c r="P100" s="86"/>
      <c r="Q100" s="86">
        <f t="shared" si="3"/>
        <v>0</v>
      </c>
      <c r="R100" s="86">
        <f t="shared" si="4"/>
        <v>0</v>
      </c>
      <c r="S100" s="86">
        <f t="shared" si="5"/>
        <v>0</v>
      </c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</row>
    <row r="101" spans="1:33" x14ac:dyDescent="0.25">
      <c r="A101" s="85"/>
      <c r="B101" s="86" t="s">
        <v>312</v>
      </c>
      <c r="C101" s="87">
        <v>14</v>
      </c>
      <c r="D101" s="85">
        <v>19</v>
      </c>
      <c r="E101" s="85"/>
      <c r="F101" s="85">
        <v>21</v>
      </c>
      <c r="G101" s="85"/>
      <c r="H101" s="85">
        <v>12</v>
      </c>
      <c r="I101" s="85"/>
      <c r="J101" s="85"/>
      <c r="K101" s="85"/>
      <c r="L101" s="85"/>
      <c r="M101" s="85"/>
      <c r="N101" s="85"/>
      <c r="O101" s="85" t="s">
        <v>273</v>
      </c>
      <c r="P101" s="86"/>
      <c r="Q101" s="86">
        <f t="shared" si="3"/>
        <v>66</v>
      </c>
      <c r="R101" s="86">
        <f t="shared" si="4"/>
        <v>18.333333333333332</v>
      </c>
      <c r="S101" s="86">
        <f t="shared" si="5"/>
        <v>1.8333333333333333</v>
      </c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</row>
    <row r="102" spans="1:33" x14ac:dyDescent="0.25">
      <c r="A102" s="85"/>
      <c r="B102" s="86" t="s">
        <v>105</v>
      </c>
      <c r="C102" s="87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 t="s">
        <v>273</v>
      </c>
      <c r="P102" s="86"/>
      <c r="Q102" s="86">
        <f t="shared" si="3"/>
        <v>0</v>
      </c>
      <c r="R102" s="86">
        <f t="shared" si="4"/>
        <v>0</v>
      </c>
      <c r="S102" s="86">
        <f t="shared" si="5"/>
        <v>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</row>
    <row r="103" spans="1:33" x14ac:dyDescent="0.25">
      <c r="A103" s="85"/>
      <c r="B103" s="86" t="s">
        <v>106</v>
      </c>
      <c r="C103" s="87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 t="s">
        <v>273</v>
      </c>
      <c r="P103" s="86"/>
      <c r="Q103" s="86">
        <f t="shared" si="3"/>
        <v>0</v>
      </c>
      <c r="R103" s="86">
        <f t="shared" si="4"/>
        <v>0</v>
      </c>
      <c r="S103" s="86">
        <f t="shared" si="5"/>
        <v>0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</row>
    <row r="104" spans="1:33" x14ac:dyDescent="0.25">
      <c r="A104" s="85"/>
      <c r="B104" s="86" t="s">
        <v>107</v>
      </c>
      <c r="C104" s="87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 t="s">
        <v>273</v>
      </c>
      <c r="P104" s="86"/>
      <c r="Q104" s="86">
        <f t="shared" si="3"/>
        <v>0</v>
      </c>
      <c r="R104" s="86">
        <f t="shared" si="4"/>
        <v>0</v>
      </c>
      <c r="S104" s="86">
        <f t="shared" si="5"/>
        <v>0</v>
      </c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</row>
    <row r="105" spans="1:33" x14ac:dyDescent="0.25">
      <c r="A105" s="85"/>
      <c r="B105" s="86" t="s">
        <v>108</v>
      </c>
      <c r="C105" s="87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 t="s">
        <v>273</v>
      </c>
      <c r="P105" s="86"/>
      <c r="Q105" s="86">
        <f t="shared" si="3"/>
        <v>0</v>
      </c>
      <c r="R105" s="86">
        <f t="shared" si="4"/>
        <v>0</v>
      </c>
      <c r="S105" s="86">
        <f t="shared" si="5"/>
        <v>0</v>
      </c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</row>
    <row r="106" spans="1:33" x14ac:dyDescent="0.25">
      <c r="A106" s="85"/>
      <c r="B106" s="86" t="s">
        <v>109</v>
      </c>
      <c r="C106" s="87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 t="s">
        <v>273</v>
      </c>
      <c r="P106" s="86"/>
      <c r="Q106" s="86">
        <f t="shared" si="3"/>
        <v>0</v>
      </c>
      <c r="R106" s="86">
        <f t="shared" si="4"/>
        <v>0</v>
      </c>
      <c r="S106" s="86">
        <f t="shared" si="5"/>
        <v>0</v>
      </c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</row>
    <row r="107" spans="1:33" x14ac:dyDescent="0.25">
      <c r="A107" s="85"/>
      <c r="B107" s="86" t="s">
        <v>110</v>
      </c>
      <c r="C107" s="87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 t="s">
        <v>273</v>
      </c>
      <c r="P107" s="86"/>
      <c r="Q107" s="86">
        <f t="shared" si="3"/>
        <v>0</v>
      </c>
      <c r="R107" s="86">
        <f t="shared" si="4"/>
        <v>0</v>
      </c>
      <c r="S107" s="86">
        <f t="shared" si="5"/>
        <v>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</row>
    <row r="108" spans="1:33" x14ac:dyDescent="0.25">
      <c r="A108" s="85"/>
      <c r="B108" s="86" t="s">
        <v>111</v>
      </c>
      <c r="C108" s="87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 t="s">
        <v>273</v>
      </c>
      <c r="P108" s="86"/>
      <c r="Q108" s="86">
        <f t="shared" si="3"/>
        <v>0</v>
      </c>
      <c r="R108" s="86">
        <f t="shared" si="4"/>
        <v>0</v>
      </c>
      <c r="S108" s="86">
        <f t="shared" si="5"/>
        <v>0</v>
      </c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</row>
    <row r="109" spans="1:33" x14ac:dyDescent="0.25">
      <c r="A109" s="85"/>
      <c r="B109" s="86" t="s">
        <v>112</v>
      </c>
      <c r="C109" s="87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 t="s">
        <v>273</v>
      </c>
      <c r="P109" s="86"/>
      <c r="Q109" s="86">
        <f t="shared" si="3"/>
        <v>0</v>
      </c>
      <c r="R109" s="86">
        <f t="shared" si="4"/>
        <v>0</v>
      </c>
      <c r="S109" s="86">
        <f t="shared" si="5"/>
        <v>0</v>
      </c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</row>
    <row r="110" spans="1:33" x14ac:dyDescent="0.25">
      <c r="A110" s="85"/>
      <c r="B110" s="86" t="s">
        <v>113</v>
      </c>
      <c r="C110" s="87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 t="s">
        <v>273</v>
      </c>
      <c r="P110" s="86"/>
      <c r="Q110" s="86">
        <f t="shared" si="3"/>
        <v>0</v>
      </c>
      <c r="R110" s="86">
        <f t="shared" si="4"/>
        <v>0</v>
      </c>
      <c r="S110" s="86">
        <f t="shared" si="5"/>
        <v>0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</row>
    <row r="111" spans="1:33" x14ac:dyDescent="0.25">
      <c r="A111" s="85"/>
      <c r="B111" s="86" t="s">
        <v>114</v>
      </c>
      <c r="C111" s="87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 t="s">
        <v>273</v>
      </c>
      <c r="P111" s="86"/>
      <c r="Q111" s="86">
        <f t="shared" si="3"/>
        <v>0</v>
      </c>
      <c r="R111" s="86">
        <f t="shared" si="4"/>
        <v>0</v>
      </c>
      <c r="S111" s="86">
        <f t="shared" si="5"/>
        <v>0</v>
      </c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</row>
    <row r="112" spans="1:33" x14ac:dyDescent="0.25">
      <c r="A112" s="85"/>
      <c r="B112" s="86" t="s">
        <v>115</v>
      </c>
      <c r="C112" s="87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 t="s">
        <v>273</v>
      </c>
      <c r="P112" s="86"/>
      <c r="Q112" s="86">
        <f t="shared" si="3"/>
        <v>0</v>
      </c>
      <c r="R112" s="86">
        <f t="shared" si="4"/>
        <v>0</v>
      </c>
      <c r="S112" s="86">
        <f t="shared" si="5"/>
        <v>0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</row>
    <row r="113" spans="1:33" x14ac:dyDescent="0.25">
      <c r="A113" s="85"/>
      <c r="B113" s="86" t="s">
        <v>116</v>
      </c>
      <c r="C113" s="87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 t="s">
        <v>273</v>
      </c>
      <c r="P113" s="86"/>
      <c r="Q113" s="86">
        <f t="shared" si="3"/>
        <v>0</v>
      </c>
      <c r="R113" s="86">
        <f t="shared" si="4"/>
        <v>0</v>
      </c>
      <c r="S113" s="86">
        <f t="shared" si="5"/>
        <v>0</v>
      </c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</row>
    <row r="114" spans="1:33" x14ac:dyDescent="0.25">
      <c r="A114" s="85"/>
      <c r="B114" s="86" t="s">
        <v>117</v>
      </c>
      <c r="C114" s="87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 t="s">
        <v>273</v>
      </c>
      <c r="P114" s="86"/>
      <c r="Q114" s="86">
        <f t="shared" si="3"/>
        <v>0</v>
      </c>
      <c r="R114" s="86">
        <f t="shared" si="4"/>
        <v>0</v>
      </c>
      <c r="S114" s="86">
        <f t="shared" si="5"/>
        <v>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</row>
    <row r="115" spans="1:33" x14ac:dyDescent="0.25">
      <c r="A115" s="85"/>
      <c r="B115" s="86" t="s">
        <v>118</v>
      </c>
      <c r="C115" s="87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 t="s">
        <v>273</v>
      </c>
      <c r="P115" s="86"/>
      <c r="Q115" s="86">
        <f t="shared" si="3"/>
        <v>0</v>
      </c>
      <c r="R115" s="86">
        <f t="shared" si="4"/>
        <v>0</v>
      </c>
      <c r="S115" s="86">
        <f t="shared" si="5"/>
        <v>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</row>
    <row r="116" spans="1:33" x14ac:dyDescent="0.25">
      <c r="A116" s="85"/>
      <c r="B116" s="86" t="s">
        <v>119</v>
      </c>
      <c r="C116" s="87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 t="s">
        <v>273</v>
      </c>
      <c r="P116" s="86"/>
      <c r="Q116" s="86">
        <f t="shared" si="3"/>
        <v>0</v>
      </c>
      <c r="R116" s="86">
        <f t="shared" si="4"/>
        <v>0</v>
      </c>
      <c r="S116" s="86">
        <f t="shared" si="5"/>
        <v>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</row>
    <row r="117" spans="1:33" x14ac:dyDescent="0.25">
      <c r="A117" s="85"/>
      <c r="B117" s="86" t="s">
        <v>120</v>
      </c>
      <c r="C117" s="87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 t="s">
        <v>273</v>
      </c>
      <c r="P117" s="86"/>
      <c r="Q117" s="86">
        <f t="shared" si="3"/>
        <v>0</v>
      </c>
      <c r="R117" s="86">
        <f t="shared" si="4"/>
        <v>0</v>
      </c>
      <c r="S117" s="86">
        <f t="shared" si="5"/>
        <v>0</v>
      </c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</row>
    <row r="118" spans="1:33" x14ac:dyDescent="0.25">
      <c r="A118" s="85"/>
      <c r="B118" s="86" t="s">
        <v>121</v>
      </c>
      <c r="C118" s="87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 t="s">
        <v>273</v>
      </c>
      <c r="P118" s="86"/>
      <c r="Q118" s="86">
        <f t="shared" si="3"/>
        <v>0</v>
      </c>
      <c r="R118" s="86">
        <f t="shared" si="4"/>
        <v>0</v>
      </c>
      <c r="S118" s="86">
        <f t="shared" si="5"/>
        <v>0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</row>
    <row r="119" spans="1:33" x14ac:dyDescent="0.25">
      <c r="A119" s="85"/>
      <c r="B119" s="86" t="s">
        <v>122</v>
      </c>
      <c r="C119" s="87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 t="s">
        <v>273</v>
      </c>
      <c r="P119" s="86"/>
      <c r="Q119" s="86">
        <f t="shared" si="3"/>
        <v>0</v>
      </c>
      <c r="R119" s="86">
        <f t="shared" si="4"/>
        <v>0</v>
      </c>
      <c r="S119" s="86">
        <f t="shared" si="5"/>
        <v>0</v>
      </c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</row>
    <row r="120" spans="1:33" x14ac:dyDescent="0.25">
      <c r="A120" s="85"/>
      <c r="B120" s="86" t="s">
        <v>123</v>
      </c>
      <c r="C120" s="87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 t="s">
        <v>273</v>
      </c>
      <c r="P120" s="86"/>
      <c r="Q120" s="86">
        <f t="shared" si="3"/>
        <v>0</v>
      </c>
      <c r="R120" s="86">
        <f t="shared" si="4"/>
        <v>0</v>
      </c>
      <c r="S120" s="86">
        <f t="shared" si="5"/>
        <v>0</v>
      </c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</row>
    <row r="121" spans="1:33" x14ac:dyDescent="0.25">
      <c r="A121" s="85"/>
      <c r="B121" s="86" t="s">
        <v>124</v>
      </c>
      <c r="C121" s="87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 t="s">
        <v>273</v>
      </c>
      <c r="P121" s="86"/>
      <c r="Q121" s="86">
        <f t="shared" si="3"/>
        <v>0</v>
      </c>
      <c r="R121" s="86">
        <f t="shared" si="4"/>
        <v>0</v>
      </c>
      <c r="S121" s="86">
        <f t="shared" si="5"/>
        <v>0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</row>
    <row r="122" spans="1:33" x14ac:dyDescent="0.25">
      <c r="A122" s="85"/>
      <c r="B122" s="86" t="s">
        <v>125</v>
      </c>
      <c r="C122" s="87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 t="s">
        <v>273</v>
      </c>
      <c r="P122" s="86"/>
      <c r="Q122" s="86">
        <f t="shared" si="3"/>
        <v>0</v>
      </c>
      <c r="R122" s="86">
        <f t="shared" si="4"/>
        <v>0</v>
      </c>
      <c r="S122" s="86">
        <f t="shared" si="5"/>
        <v>0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</row>
    <row r="123" spans="1:33" x14ac:dyDescent="0.25">
      <c r="A123" s="85"/>
      <c r="B123" s="86" t="s">
        <v>126</v>
      </c>
      <c r="C123" s="87"/>
      <c r="D123" s="85">
        <v>24</v>
      </c>
      <c r="E123" s="85"/>
      <c r="F123" s="85"/>
      <c r="G123" s="85"/>
      <c r="H123" s="85"/>
      <c r="I123" s="85">
        <v>19</v>
      </c>
      <c r="J123" s="85">
        <v>15</v>
      </c>
      <c r="K123" s="85"/>
      <c r="L123" s="85"/>
      <c r="M123" s="85"/>
      <c r="N123" s="85"/>
      <c r="O123" s="85" t="s">
        <v>273</v>
      </c>
      <c r="P123" s="86"/>
      <c r="Q123" s="86">
        <f t="shared" si="3"/>
        <v>58</v>
      </c>
      <c r="R123" s="86">
        <f t="shared" si="4"/>
        <v>16.111111111111111</v>
      </c>
      <c r="S123" s="86">
        <f t="shared" si="5"/>
        <v>1.6111111111111112</v>
      </c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</row>
    <row r="124" spans="1:33" x14ac:dyDescent="0.25">
      <c r="A124" s="85"/>
      <c r="B124" s="86" t="s">
        <v>127</v>
      </c>
      <c r="C124" s="87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 t="s">
        <v>273</v>
      </c>
      <c r="P124" s="86"/>
      <c r="Q124" s="86">
        <f t="shared" si="3"/>
        <v>0</v>
      </c>
      <c r="R124" s="86">
        <f t="shared" si="4"/>
        <v>0</v>
      </c>
      <c r="S124" s="86">
        <f t="shared" si="5"/>
        <v>0</v>
      </c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</row>
    <row r="125" spans="1:33" x14ac:dyDescent="0.25">
      <c r="A125" s="85"/>
      <c r="B125" s="86" t="s">
        <v>128</v>
      </c>
      <c r="C125" s="87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 t="s">
        <v>273</v>
      </c>
      <c r="P125" s="86"/>
      <c r="Q125" s="86">
        <f t="shared" si="3"/>
        <v>0</v>
      </c>
      <c r="R125" s="86">
        <f t="shared" si="4"/>
        <v>0</v>
      </c>
      <c r="S125" s="86">
        <f t="shared" si="5"/>
        <v>0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</row>
    <row r="126" spans="1:33" x14ac:dyDescent="0.25">
      <c r="A126" s="85"/>
      <c r="B126" s="86" t="s">
        <v>129</v>
      </c>
      <c r="C126" s="87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 t="s">
        <v>273</v>
      </c>
      <c r="P126" s="86"/>
      <c r="Q126" s="86">
        <f t="shared" si="3"/>
        <v>0</v>
      </c>
      <c r="R126" s="86">
        <f t="shared" si="4"/>
        <v>0</v>
      </c>
      <c r="S126" s="86">
        <f t="shared" si="5"/>
        <v>0</v>
      </c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</row>
    <row r="127" spans="1:33" x14ac:dyDescent="0.25">
      <c r="A127" s="85"/>
      <c r="B127" s="86" t="s">
        <v>130</v>
      </c>
      <c r="C127" s="87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 t="s">
        <v>273</v>
      </c>
      <c r="P127" s="86"/>
      <c r="Q127" s="86">
        <f t="shared" si="3"/>
        <v>0</v>
      </c>
      <c r="R127" s="86">
        <f t="shared" si="4"/>
        <v>0</v>
      </c>
      <c r="S127" s="86">
        <f t="shared" si="5"/>
        <v>0</v>
      </c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</row>
    <row r="128" spans="1:33" x14ac:dyDescent="0.25">
      <c r="A128" s="85"/>
      <c r="B128" s="86" t="s">
        <v>131</v>
      </c>
      <c r="C128" s="87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 t="s">
        <v>273</v>
      </c>
      <c r="P128" s="86"/>
      <c r="Q128" s="86">
        <f t="shared" si="3"/>
        <v>0</v>
      </c>
      <c r="R128" s="86">
        <f t="shared" si="4"/>
        <v>0</v>
      </c>
      <c r="S128" s="86">
        <f t="shared" si="5"/>
        <v>0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</row>
    <row r="129" spans="1:33" x14ac:dyDescent="0.25">
      <c r="A129" s="85"/>
      <c r="B129" s="86" t="s">
        <v>132</v>
      </c>
      <c r="C129" s="87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 t="s">
        <v>273</v>
      </c>
      <c r="P129" s="86"/>
      <c r="Q129" s="86">
        <f t="shared" si="3"/>
        <v>0</v>
      </c>
      <c r="R129" s="86">
        <f t="shared" si="4"/>
        <v>0</v>
      </c>
      <c r="S129" s="86">
        <f t="shared" si="5"/>
        <v>0</v>
      </c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</row>
    <row r="130" spans="1:33" x14ac:dyDescent="0.25">
      <c r="A130" s="85"/>
      <c r="B130" s="86" t="s">
        <v>133</v>
      </c>
      <c r="C130" s="87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 t="s">
        <v>273</v>
      </c>
      <c r="P130" s="86"/>
      <c r="Q130" s="86">
        <f t="shared" si="3"/>
        <v>0</v>
      </c>
      <c r="R130" s="86">
        <f t="shared" si="4"/>
        <v>0</v>
      </c>
      <c r="S130" s="86">
        <f t="shared" si="5"/>
        <v>0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</row>
    <row r="131" spans="1:33" x14ac:dyDescent="0.25">
      <c r="A131" s="85"/>
      <c r="B131" s="86" t="s">
        <v>134</v>
      </c>
      <c r="C131" s="87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 t="s">
        <v>273</v>
      </c>
      <c r="P131" s="85" t="s">
        <v>313</v>
      </c>
      <c r="Q131" s="86">
        <f t="shared" ref="Q131:Q194" si="6">SUM(C131:N131)</f>
        <v>0</v>
      </c>
      <c r="R131" s="86">
        <f t="shared" ref="R131:R194" si="7">(Q131/360)*100</f>
        <v>0</v>
      </c>
      <c r="S131" s="86">
        <f t="shared" ref="S131:S194" si="8">R131*0.1</f>
        <v>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</row>
    <row r="132" spans="1:33" x14ac:dyDescent="0.25">
      <c r="A132" s="85"/>
      <c r="B132" s="86" t="s">
        <v>135</v>
      </c>
      <c r="C132" s="87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 t="s">
        <v>273</v>
      </c>
      <c r="P132" s="86"/>
      <c r="Q132" s="86">
        <f t="shared" si="6"/>
        <v>0</v>
      </c>
      <c r="R132" s="86">
        <f t="shared" si="7"/>
        <v>0</v>
      </c>
      <c r="S132" s="86">
        <f t="shared" si="8"/>
        <v>0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</row>
    <row r="133" spans="1:33" x14ac:dyDescent="0.25">
      <c r="A133" s="85"/>
      <c r="B133" s="86" t="s">
        <v>136</v>
      </c>
      <c r="C133" s="87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 t="s">
        <v>273</v>
      </c>
      <c r="P133" s="86"/>
      <c r="Q133" s="86">
        <f t="shared" si="6"/>
        <v>0</v>
      </c>
      <c r="R133" s="86">
        <f t="shared" si="7"/>
        <v>0</v>
      </c>
      <c r="S133" s="86">
        <f t="shared" si="8"/>
        <v>0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</row>
    <row r="134" spans="1:33" x14ac:dyDescent="0.25">
      <c r="A134" s="85"/>
      <c r="B134" s="86" t="s">
        <v>137</v>
      </c>
      <c r="C134" s="87">
        <v>27</v>
      </c>
      <c r="D134" s="85">
        <v>22</v>
      </c>
      <c r="E134" s="85"/>
      <c r="F134" s="85"/>
      <c r="G134" s="85">
        <v>22</v>
      </c>
      <c r="H134" s="85">
        <v>22</v>
      </c>
      <c r="I134" s="85">
        <v>21</v>
      </c>
      <c r="J134" s="85">
        <v>20</v>
      </c>
      <c r="K134" s="85">
        <v>28</v>
      </c>
      <c r="L134" s="85">
        <v>25</v>
      </c>
      <c r="M134" s="85">
        <v>23</v>
      </c>
      <c r="N134" s="85">
        <v>21</v>
      </c>
      <c r="O134" s="85" t="s">
        <v>274</v>
      </c>
      <c r="P134" s="86"/>
      <c r="Q134" s="86">
        <f t="shared" si="6"/>
        <v>231</v>
      </c>
      <c r="R134" s="86">
        <f t="shared" si="7"/>
        <v>64.166666666666671</v>
      </c>
      <c r="S134" s="86">
        <f t="shared" si="8"/>
        <v>6.4166666666666679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</row>
    <row r="135" spans="1:33" x14ac:dyDescent="0.25">
      <c r="A135" s="85"/>
      <c r="B135" s="86" t="s">
        <v>138</v>
      </c>
      <c r="C135" s="85">
        <v>14</v>
      </c>
      <c r="D135" s="85">
        <v>22</v>
      </c>
      <c r="E135" s="85">
        <v>13</v>
      </c>
      <c r="F135" s="85">
        <v>17</v>
      </c>
      <c r="G135" s="85">
        <v>15</v>
      </c>
      <c r="H135" s="85">
        <v>14</v>
      </c>
      <c r="I135" s="85">
        <v>13</v>
      </c>
      <c r="J135" s="85">
        <v>14</v>
      </c>
      <c r="K135" s="85">
        <v>21</v>
      </c>
      <c r="L135" s="85">
        <v>14</v>
      </c>
      <c r="M135" s="85">
        <v>24</v>
      </c>
      <c r="N135" s="85">
        <v>20</v>
      </c>
      <c r="O135" s="85" t="s">
        <v>274</v>
      </c>
      <c r="P135" s="86"/>
      <c r="Q135" s="86">
        <f t="shared" si="6"/>
        <v>201</v>
      </c>
      <c r="R135" s="86">
        <f t="shared" si="7"/>
        <v>55.833333333333336</v>
      </c>
      <c r="S135" s="86">
        <f t="shared" si="8"/>
        <v>5.5833333333333339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</row>
    <row r="136" spans="1:33" x14ac:dyDescent="0.25">
      <c r="A136" s="85"/>
      <c r="B136" s="86" t="s">
        <v>139</v>
      </c>
      <c r="C136" s="87"/>
      <c r="D136" s="85"/>
      <c r="E136" s="85">
        <v>9</v>
      </c>
      <c r="F136" s="85">
        <v>15</v>
      </c>
      <c r="G136" s="85"/>
      <c r="H136" s="85"/>
      <c r="I136" s="85">
        <v>21</v>
      </c>
      <c r="J136" s="85">
        <v>11</v>
      </c>
      <c r="K136" s="85">
        <v>13</v>
      </c>
      <c r="L136" s="85">
        <v>14</v>
      </c>
      <c r="M136" s="85">
        <v>15</v>
      </c>
      <c r="N136" s="85">
        <v>18</v>
      </c>
      <c r="O136" s="85" t="s">
        <v>274</v>
      </c>
      <c r="P136" s="86"/>
      <c r="Q136" s="86">
        <f t="shared" si="6"/>
        <v>116</v>
      </c>
      <c r="R136" s="86">
        <f t="shared" si="7"/>
        <v>32.222222222222221</v>
      </c>
      <c r="S136" s="86">
        <f t="shared" si="8"/>
        <v>3.2222222222222223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</row>
    <row r="137" spans="1:33" x14ac:dyDescent="0.25">
      <c r="A137" s="85"/>
      <c r="B137" s="86" t="s">
        <v>140</v>
      </c>
      <c r="C137" s="87">
        <v>23</v>
      </c>
      <c r="D137" s="85">
        <v>23</v>
      </c>
      <c r="E137" s="85"/>
      <c r="F137" s="85"/>
      <c r="G137" s="85">
        <v>18</v>
      </c>
      <c r="H137" s="85"/>
      <c r="I137" s="85">
        <v>11</v>
      </c>
      <c r="J137" s="85">
        <v>11</v>
      </c>
      <c r="K137" s="85"/>
      <c r="L137" s="85">
        <v>21</v>
      </c>
      <c r="M137" s="85">
        <v>22</v>
      </c>
      <c r="N137" s="85">
        <v>15</v>
      </c>
      <c r="O137" s="85" t="s">
        <v>274</v>
      </c>
      <c r="P137" s="86"/>
      <c r="Q137" s="86">
        <f t="shared" si="6"/>
        <v>144</v>
      </c>
      <c r="R137" s="86">
        <f t="shared" si="7"/>
        <v>40</v>
      </c>
      <c r="S137" s="86">
        <f t="shared" si="8"/>
        <v>4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</row>
    <row r="138" spans="1:33" x14ac:dyDescent="0.25">
      <c r="A138" s="85"/>
      <c r="B138" s="86" t="s">
        <v>141</v>
      </c>
      <c r="C138" s="87">
        <v>8</v>
      </c>
      <c r="D138" s="85">
        <v>18</v>
      </c>
      <c r="E138" s="85"/>
      <c r="F138" s="85"/>
      <c r="G138" s="85">
        <v>11</v>
      </c>
      <c r="H138" s="85">
        <v>12</v>
      </c>
      <c r="I138" s="85">
        <v>19</v>
      </c>
      <c r="J138" s="85">
        <v>19</v>
      </c>
      <c r="K138" s="85">
        <v>26</v>
      </c>
      <c r="L138" s="85">
        <v>18</v>
      </c>
      <c r="M138" s="85">
        <v>23</v>
      </c>
      <c r="N138" s="85">
        <v>16</v>
      </c>
      <c r="O138" s="85" t="s">
        <v>274</v>
      </c>
      <c r="P138" s="86"/>
      <c r="Q138" s="86">
        <f t="shared" si="6"/>
        <v>170</v>
      </c>
      <c r="R138" s="86">
        <f t="shared" si="7"/>
        <v>47.222222222222221</v>
      </c>
      <c r="S138" s="86">
        <f t="shared" si="8"/>
        <v>4.7222222222222223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</row>
    <row r="139" spans="1:33" x14ac:dyDescent="0.25">
      <c r="A139" s="85"/>
      <c r="B139" s="86" t="s">
        <v>142</v>
      </c>
      <c r="C139" s="87">
        <v>29</v>
      </c>
      <c r="D139" s="85">
        <v>28</v>
      </c>
      <c r="E139" s="85">
        <v>28</v>
      </c>
      <c r="F139" s="85">
        <v>28</v>
      </c>
      <c r="G139" s="85">
        <v>30</v>
      </c>
      <c r="H139" s="85">
        <v>28</v>
      </c>
      <c r="I139" s="85">
        <v>28</v>
      </c>
      <c r="J139" s="85">
        <v>25</v>
      </c>
      <c r="K139" s="85">
        <v>30</v>
      </c>
      <c r="L139" s="85">
        <v>27</v>
      </c>
      <c r="M139" s="85">
        <v>30</v>
      </c>
      <c r="N139" s="85">
        <v>27</v>
      </c>
      <c r="O139" s="85" t="s">
        <v>274</v>
      </c>
      <c r="P139" s="86"/>
      <c r="Q139" s="86">
        <f t="shared" si="6"/>
        <v>338</v>
      </c>
      <c r="R139" s="86">
        <f t="shared" si="7"/>
        <v>93.888888888888886</v>
      </c>
      <c r="S139" s="86">
        <f t="shared" si="8"/>
        <v>9.3888888888888893</v>
      </c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</row>
    <row r="140" spans="1:33" x14ac:dyDescent="0.25">
      <c r="A140" s="85"/>
      <c r="B140" s="86" t="s">
        <v>143</v>
      </c>
      <c r="C140" s="87">
        <v>10</v>
      </c>
      <c r="D140" s="85">
        <v>16</v>
      </c>
      <c r="E140" s="85"/>
      <c r="F140" s="85"/>
      <c r="G140" s="85"/>
      <c r="H140" s="85"/>
      <c r="I140" s="85">
        <v>18</v>
      </c>
      <c r="J140" s="85">
        <v>8</v>
      </c>
      <c r="K140" s="85">
        <v>20</v>
      </c>
      <c r="L140" s="85">
        <v>30</v>
      </c>
      <c r="M140" s="85"/>
      <c r="N140" s="85"/>
      <c r="O140" s="85" t="s">
        <v>274</v>
      </c>
      <c r="P140" s="86"/>
      <c r="Q140" s="86">
        <f t="shared" si="6"/>
        <v>102</v>
      </c>
      <c r="R140" s="86">
        <f t="shared" si="7"/>
        <v>28.333333333333332</v>
      </c>
      <c r="S140" s="86">
        <f t="shared" si="8"/>
        <v>2.8333333333333335</v>
      </c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</row>
    <row r="141" spans="1:33" x14ac:dyDescent="0.25">
      <c r="A141" s="85"/>
      <c r="B141" s="86" t="s">
        <v>144</v>
      </c>
      <c r="C141" s="87">
        <v>11</v>
      </c>
      <c r="D141" s="85">
        <v>21</v>
      </c>
      <c r="E141" s="85"/>
      <c r="F141" s="85"/>
      <c r="G141" s="85">
        <v>14</v>
      </c>
      <c r="H141" s="85">
        <v>13</v>
      </c>
      <c r="I141" s="85">
        <v>18</v>
      </c>
      <c r="J141" s="85">
        <v>11</v>
      </c>
      <c r="K141" s="85">
        <v>18</v>
      </c>
      <c r="L141" s="85">
        <v>15</v>
      </c>
      <c r="M141" s="85">
        <v>21</v>
      </c>
      <c r="N141" s="85">
        <v>16</v>
      </c>
      <c r="O141" s="85" t="s">
        <v>274</v>
      </c>
      <c r="P141" s="86"/>
      <c r="Q141" s="86">
        <f t="shared" si="6"/>
        <v>158</v>
      </c>
      <c r="R141" s="86">
        <f t="shared" si="7"/>
        <v>43.888888888888886</v>
      </c>
      <c r="S141" s="86">
        <f t="shared" si="8"/>
        <v>4.3888888888888884</v>
      </c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</row>
    <row r="142" spans="1:33" x14ac:dyDescent="0.25">
      <c r="A142" s="85"/>
      <c r="B142" s="86" t="s">
        <v>145</v>
      </c>
      <c r="C142" s="87">
        <v>13</v>
      </c>
      <c r="D142" s="85"/>
      <c r="E142" s="85">
        <v>8</v>
      </c>
      <c r="F142" s="85">
        <v>10</v>
      </c>
      <c r="G142" s="85"/>
      <c r="H142" s="85"/>
      <c r="I142" s="85">
        <v>4</v>
      </c>
      <c r="J142" s="85">
        <v>6</v>
      </c>
      <c r="K142" s="85">
        <v>12</v>
      </c>
      <c r="L142" s="85">
        <v>10</v>
      </c>
      <c r="M142" s="85">
        <v>12</v>
      </c>
      <c r="N142" s="85">
        <v>9</v>
      </c>
      <c r="O142" s="85" t="s">
        <v>274</v>
      </c>
      <c r="P142" s="86"/>
      <c r="Q142" s="86">
        <f t="shared" si="6"/>
        <v>84</v>
      </c>
      <c r="R142" s="86">
        <f t="shared" si="7"/>
        <v>23.333333333333332</v>
      </c>
      <c r="S142" s="86">
        <f t="shared" si="8"/>
        <v>2.3333333333333335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</row>
    <row r="143" spans="1:33" x14ac:dyDescent="0.25">
      <c r="A143" s="85"/>
      <c r="B143" s="86" t="s">
        <v>146</v>
      </c>
      <c r="C143" s="87">
        <v>21</v>
      </c>
      <c r="D143" s="85">
        <v>24</v>
      </c>
      <c r="E143" s="85"/>
      <c r="F143" s="85"/>
      <c r="G143" s="85">
        <v>22</v>
      </c>
      <c r="H143" s="85">
        <v>21</v>
      </c>
      <c r="I143" s="85">
        <v>24</v>
      </c>
      <c r="J143" s="85">
        <v>21</v>
      </c>
      <c r="K143" s="85">
        <v>19</v>
      </c>
      <c r="L143" s="85">
        <v>15</v>
      </c>
      <c r="M143" s="85"/>
      <c r="N143" s="85"/>
      <c r="O143" s="85" t="s">
        <v>274</v>
      </c>
      <c r="P143" s="86"/>
      <c r="Q143" s="86">
        <f t="shared" si="6"/>
        <v>167</v>
      </c>
      <c r="R143" s="86">
        <f t="shared" si="7"/>
        <v>46.388888888888893</v>
      </c>
      <c r="S143" s="86">
        <f t="shared" si="8"/>
        <v>4.6388888888888893</v>
      </c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</row>
    <row r="144" spans="1:33" x14ac:dyDescent="0.25">
      <c r="A144" s="85"/>
      <c r="B144" s="86" t="s">
        <v>147</v>
      </c>
      <c r="C144" s="87">
        <v>25</v>
      </c>
      <c r="D144" s="85">
        <v>25</v>
      </c>
      <c r="E144" s="85">
        <v>26</v>
      </c>
      <c r="F144" s="85">
        <v>30</v>
      </c>
      <c r="G144" s="85">
        <v>28</v>
      </c>
      <c r="H144" s="85">
        <v>25</v>
      </c>
      <c r="I144" s="85">
        <v>27</v>
      </c>
      <c r="J144" s="85">
        <v>22</v>
      </c>
      <c r="K144" s="85">
        <v>29</v>
      </c>
      <c r="L144" s="85">
        <v>28</v>
      </c>
      <c r="M144" s="85">
        <v>30</v>
      </c>
      <c r="N144" s="85">
        <v>26</v>
      </c>
      <c r="O144" s="85" t="s">
        <v>274</v>
      </c>
      <c r="P144" s="86"/>
      <c r="Q144" s="86">
        <f t="shared" si="6"/>
        <v>321</v>
      </c>
      <c r="R144" s="86">
        <f t="shared" si="7"/>
        <v>89.166666666666671</v>
      </c>
      <c r="S144" s="86">
        <f t="shared" si="8"/>
        <v>8.9166666666666679</v>
      </c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</row>
    <row r="145" spans="1:33" x14ac:dyDescent="0.25">
      <c r="A145" s="85"/>
      <c r="B145" s="86" t="s">
        <v>148</v>
      </c>
      <c r="C145" s="87">
        <v>24</v>
      </c>
      <c r="D145" s="85">
        <v>18</v>
      </c>
      <c r="E145" s="85">
        <v>22</v>
      </c>
      <c r="F145" s="85">
        <v>24</v>
      </c>
      <c r="G145" s="85"/>
      <c r="H145" s="85"/>
      <c r="I145" s="85">
        <v>23</v>
      </c>
      <c r="J145" s="85">
        <v>20</v>
      </c>
      <c r="K145" s="85">
        <v>25</v>
      </c>
      <c r="L145" s="85">
        <v>26</v>
      </c>
      <c r="M145" s="85">
        <v>25</v>
      </c>
      <c r="N145" s="85">
        <v>24</v>
      </c>
      <c r="O145" s="85" t="s">
        <v>274</v>
      </c>
      <c r="P145" s="86"/>
      <c r="Q145" s="86">
        <f t="shared" si="6"/>
        <v>231</v>
      </c>
      <c r="R145" s="86">
        <f t="shared" si="7"/>
        <v>64.166666666666671</v>
      </c>
      <c r="S145" s="86">
        <f t="shared" si="8"/>
        <v>6.4166666666666679</v>
      </c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</row>
    <row r="146" spans="1:33" x14ac:dyDescent="0.25">
      <c r="A146" s="85"/>
      <c r="B146" s="86" t="s">
        <v>149</v>
      </c>
      <c r="C146" s="87"/>
      <c r="D146" s="85">
        <v>13</v>
      </c>
      <c r="E146" s="85">
        <v>8</v>
      </c>
      <c r="F146" s="85">
        <v>13</v>
      </c>
      <c r="G146" s="85">
        <v>17</v>
      </c>
      <c r="H146" s="85">
        <v>8</v>
      </c>
      <c r="I146" s="85">
        <v>12</v>
      </c>
      <c r="J146" s="85"/>
      <c r="K146" s="85">
        <v>11</v>
      </c>
      <c r="L146" s="85"/>
      <c r="M146" s="85">
        <v>9</v>
      </c>
      <c r="N146" s="85">
        <v>13</v>
      </c>
      <c r="O146" s="85" t="s">
        <v>274</v>
      </c>
      <c r="P146" s="86"/>
      <c r="Q146" s="86">
        <f t="shared" si="6"/>
        <v>104</v>
      </c>
      <c r="R146" s="86">
        <f t="shared" si="7"/>
        <v>28.888888888888886</v>
      </c>
      <c r="S146" s="86">
        <f t="shared" si="8"/>
        <v>2.8888888888888888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</row>
    <row r="147" spans="1:33" x14ac:dyDescent="0.25">
      <c r="A147" s="85"/>
      <c r="B147" s="86" t="s">
        <v>150</v>
      </c>
      <c r="C147" s="87">
        <v>7</v>
      </c>
      <c r="D147" s="85">
        <v>13</v>
      </c>
      <c r="E147" s="85">
        <v>10</v>
      </c>
      <c r="F147" s="85">
        <v>16</v>
      </c>
      <c r="G147" s="85">
        <v>15</v>
      </c>
      <c r="H147" s="85">
        <v>15</v>
      </c>
      <c r="I147" s="85">
        <v>16</v>
      </c>
      <c r="J147" s="85">
        <v>12</v>
      </c>
      <c r="K147" s="85">
        <v>21</v>
      </c>
      <c r="L147" s="85">
        <v>13</v>
      </c>
      <c r="M147" s="85">
        <v>22</v>
      </c>
      <c r="N147" s="85">
        <v>18</v>
      </c>
      <c r="O147" s="85" t="s">
        <v>274</v>
      </c>
      <c r="P147" s="86"/>
      <c r="Q147" s="86">
        <f t="shared" si="6"/>
        <v>178</v>
      </c>
      <c r="R147" s="86">
        <f t="shared" si="7"/>
        <v>49.444444444444443</v>
      </c>
      <c r="S147" s="86">
        <f t="shared" si="8"/>
        <v>4.9444444444444446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</row>
    <row r="148" spans="1:33" x14ac:dyDescent="0.25">
      <c r="A148" s="85"/>
      <c r="B148" s="86" t="s">
        <v>151</v>
      </c>
      <c r="C148" s="87">
        <v>16</v>
      </c>
      <c r="D148" s="85">
        <v>16</v>
      </c>
      <c r="E148" s="85">
        <v>9</v>
      </c>
      <c r="F148" s="85">
        <v>14</v>
      </c>
      <c r="G148" s="85"/>
      <c r="H148" s="85"/>
      <c r="I148" s="85">
        <v>13</v>
      </c>
      <c r="J148" s="85">
        <v>15</v>
      </c>
      <c r="K148" s="85">
        <v>21</v>
      </c>
      <c r="L148" s="85">
        <v>11</v>
      </c>
      <c r="M148" s="85">
        <v>17</v>
      </c>
      <c r="N148" s="85">
        <v>15</v>
      </c>
      <c r="O148" s="85" t="s">
        <v>274</v>
      </c>
      <c r="P148" s="86"/>
      <c r="Q148" s="86">
        <f t="shared" si="6"/>
        <v>147</v>
      </c>
      <c r="R148" s="86">
        <f t="shared" si="7"/>
        <v>40.833333333333336</v>
      </c>
      <c r="S148" s="86">
        <f t="shared" si="8"/>
        <v>4.0833333333333339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</row>
    <row r="149" spans="1:33" x14ac:dyDescent="0.25">
      <c r="A149" s="85"/>
      <c r="B149" s="86" t="s">
        <v>152</v>
      </c>
      <c r="C149" s="87"/>
      <c r="D149" s="85"/>
      <c r="E149" s="85"/>
      <c r="F149" s="85"/>
      <c r="G149" s="85"/>
      <c r="H149" s="85"/>
      <c r="I149" s="85"/>
      <c r="J149" s="85"/>
      <c r="K149" s="85">
        <v>21</v>
      </c>
      <c r="L149" s="85"/>
      <c r="M149" s="85">
        <v>21</v>
      </c>
      <c r="N149" s="85">
        <v>19</v>
      </c>
      <c r="O149" s="85" t="s">
        <v>274</v>
      </c>
      <c r="P149" s="86"/>
      <c r="Q149" s="86">
        <f t="shared" si="6"/>
        <v>61</v>
      </c>
      <c r="R149" s="86">
        <f t="shared" si="7"/>
        <v>16.944444444444446</v>
      </c>
      <c r="S149" s="86">
        <f t="shared" si="8"/>
        <v>1.6944444444444446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</row>
    <row r="150" spans="1:33" x14ac:dyDescent="0.25">
      <c r="A150" s="85"/>
      <c r="B150" s="86" t="s">
        <v>153</v>
      </c>
      <c r="C150" s="87">
        <v>16</v>
      </c>
      <c r="D150" s="85">
        <v>18</v>
      </c>
      <c r="E150" s="85"/>
      <c r="F150" s="85"/>
      <c r="G150" s="85">
        <v>7</v>
      </c>
      <c r="H150" s="85">
        <v>9</v>
      </c>
      <c r="I150" s="85">
        <v>10</v>
      </c>
      <c r="J150" s="85">
        <v>9</v>
      </c>
      <c r="K150" s="85"/>
      <c r="L150" s="85"/>
      <c r="M150" s="85">
        <v>22</v>
      </c>
      <c r="N150" s="85">
        <v>12</v>
      </c>
      <c r="O150" s="85" t="s">
        <v>274</v>
      </c>
      <c r="P150" s="86"/>
      <c r="Q150" s="86">
        <f t="shared" si="6"/>
        <v>103</v>
      </c>
      <c r="R150" s="86">
        <f t="shared" si="7"/>
        <v>28.611111111111111</v>
      </c>
      <c r="S150" s="86">
        <f t="shared" si="8"/>
        <v>2.8611111111111112</v>
      </c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</row>
    <row r="151" spans="1:33" x14ac:dyDescent="0.25">
      <c r="A151" s="85"/>
      <c r="B151" s="86" t="s">
        <v>154</v>
      </c>
      <c r="C151" s="87"/>
      <c r="D151" s="85"/>
      <c r="E151" s="85">
        <v>12</v>
      </c>
      <c r="F151" s="85">
        <v>3</v>
      </c>
      <c r="G151" s="85">
        <v>10</v>
      </c>
      <c r="H151" s="85">
        <v>3</v>
      </c>
      <c r="I151" s="85">
        <v>12</v>
      </c>
      <c r="J151" s="85">
        <v>9</v>
      </c>
      <c r="K151" s="85">
        <v>18</v>
      </c>
      <c r="L151" s="85">
        <v>30</v>
      </c>
      <c r="M151" s="85">
        <v>11</v>
      </c>
      <c r="N151" s="85">
        <v>27</v>
      </c>
      <c r="O151" s="85" t="s">
        <v>274</v>
      </c>
      <c r="P151" s="86"/>
      <c r="Q151" s="86">
        <f t="shared" si="6"/>
        <v>135</v>
      </c>
      <c r="R151" s="86">
        <f t="shared" si="7"/>
        <v>37.5</v>
      </c>
      <c r="S151" s="86">
        <f t="shared" si="8"/>
        <v>3.75</v>
      </c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</row>
    <row r="152" spans="1:33" x14ac:dyDescent="0.25">
      <c r="A152" s="85"/>
      <c r="B152" s="86" t="s">
        <v>155</v>
      </c>
      <c r="C152" s="87">
        <v>16</v>
      </c>
      <c r="D152" s="85">
        <v>21</v>
      </c>
      <c r="E152" s="85"/>
      <c r="F152" s="85"/>
      <c r="G152" s="85"/>
      <c r="H152" s="85">
        <v>16</v>
      </c>
      <c r="I152" s="85">
        <v>23</v>
      </c>
      <c r="J152" s="85">
        <v>13</v>
      </c>
      <c r="K152" s="85">
        <v>22</v>
      </c>
      <c r="L152" s="85">
        <v>17</v>
      </c>
      <c r="M152" s="85">
        <v>23</v>
      </c>
      <c r="N152" s="85">
        <v>17</v>
      </c>
      <c r="O152" s="85" t="s">
        <v>274</v>
      </c>
      <c r="P152" s="86"/>
      <c r="Q152" s="86">
        <f t="shared" si="6"/>
        <v>168</v>
      </c>
      <c r="R152" s="86">
        <f t="shared" si="7"/>
        <v>46.666666666666664</v>
      </c>
      <c r="S152" s="86">
        <f t="shared" si="8"/>
        <v>4.666666666666667</v>
      </c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</row>
    <row r="153" spans="1:33" x14ac:dyDescent="0.25">
      <c r="A153" s="85"/>
      <c r="B153" s="86" t="s">
        <v>156</v>
      </c>
      <c r="C153" s="87"/>
      <c r="D153" s="85"/>
      <c r="E153" s="85"/>
      <c r="F153" s="85"/>
      <c r="G153" s="85"/>
      <c r="H153" s="85"/>
      <c r="I153" s="85">
        <v>12</v>
      </c>
      <c r="J153" s="85">
        <v>9</v>
      </c>
      <c r="K153" s="85"/>
      <c r="L153" s="85"/>
      <c r="M153" s="85"/>
      <c r="N153" s="85"/>
      <c r="O153" s="85" t="s">
        <v>274</v>
      </c>
      <c r="P153" s="86"/>
      <c r="Q153" s="86">
        <f t="shared" si="6"/>
        <v>21</v>
      </c>
      <c r="R153" s="86">
        <f t="shared" si="7"/>
        <v>5.833333333333333</v>
      </c>
      <c r="S153" s="86">
        <f t="shared" si="8"/>
        <v>0.58333333333333337</v>
      </c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</row>
    <row r="154" spans="1:33" x14ac:dyDescent="0.25">
      <c r="A154" s="85"/>
      <c r="B154" s="86" t="s">
        <v>157</v>
      </c>
      <c r="C154" s="87">
        <v>20</v>
      </c>
      <c r="D154" s="85">
        <v>20</v>
      </c>
      <c r="E154" s="85"/>
      <c r="F154" s="85"/>
      <c r="G154" s="85">
        <v>25</v>
      </c>
      <c r="H154" s="85">
        <v>20</v>
      </c>
      <c r="I154" s="85">
        <v>26</v>
      </c>
      <c r="J154" s="85">
        <v>16</v>
      </c>
      <c r="K154" s="85">
        <v>30</v>
      </c>
      <c r="L154" s="85">
        <v>29</v>
      </c>
      <c r="M154" s="85">
        <v>20</v>
      </c>
      <c r="N154" s="85">
        <v>27</v>
      </c>
      <c r="O154" s="85" t="s">
        <v>274</v>
      </c>
      <c r="P154" s="86"/>
      <c r="Q154" s="86">
        <f t="shared" si="6"/>
        <v>233</v>
      </c>
      <c r="R154" s="86">
        <f t="shared" si="7"/>
        <v>64.722222222222229</v>
      </c>
      <c r="S154" s="86">
        <f t="shared" si="8"/>
        <v>6.4722222222222232</v>
      </c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</row>
    <row r="155" spans="1:33" x14ac:dyDescent="0.25">
      <c r="A155" s="85"/>
      <c r="B155" s="86" t="s">
        <v>158</v>
      </c>
      <c r="C155" s="87">
        <v>17</v>
      </c>
      <c r="D155" s="85">
        <v>21</v>
      </c>
      <c r="E155" s="85"/>
      <c r="F155" s="85"/>
      <c r="G155" s="85"/>
      <c r="H155" s="85">
        <v>9</v>
      </c>
      <c r="I155" s="85">
        <v>19</v>
      </c>
      <c r="J155" s="85">
        <v>11</v>
      </c>
      <c r="K155" s="85">
        <v>22</v>
      </c>
      <c r="L155" s="85">
        <v>13</v>
      </c>
      <c r="M155" s="85">
        <v>22</v>
      </c>
      <c r="N155" s="85">
        <v>20</v>
      </c>
      <c r="O155" s="85" t="s">
        <v>274</v>
      </c>
      <c r="P155" s="86"/>
      <c r="Q155" s="86">
        <f t="shared" si="6"/>
        <v>154</v>
      </c>
      <c r="R155" s="86">
        <f t="shared" si="7"/>
        <v>42.777777777777779</v>
      </c>
      <c r="S155" s="86">
        <f t="shared" si="8"/>
        <v>4.2777777777777777</v>
      </c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</row>
    <row r="156" spans="1:33" x14ac:dyDescent="0.25">
      <c r="A156" s="85"/>
      <c r="B156" s="86" t="s">
        <v>159</v>
      </c>
      <c r="C156" s="87">
        <v>14</v>
      </c>
      <c r="D156" s="85">
        <v>25</v>
      </c>
      <c r="E156" s="85"/>
      <c r="F156" s="85"/>
      <c r="G156" s="85">
        <v>18</v>
      </c>
      <c r="H156" s="85">
        <v>18</v>
      </c>
      <c r="I156" s="85">
        <v>22</v>
      </c>
      <c r="J156" s="85">
        <v>17</v>
      </c>
      <c r="K156" s="85">
        <v>26</v>
      </c>
      <c r="L156" s="85">
        <v>27</v>
      </c>
      <c r="M156" s="85">
        <v>21</v>
      </c>
      <c r="N156" s="85">
        <v>19</v>
      </c>
      <c r="O156" s="85" t="s">
        <v>274</v>
      </c>
      <c r="P156" s="86"/>
      <c r="Q156" s="86">
        <f t="shared" si="6"/>
        <v>207</v>
      </c>
      <c r="R156" s="86">
        <f t="shared" si="7"/>
        <v>57.499999999999993</v>
      </c>
      <c r="S156" s="86">
        <f t="shared" si="8"/>
        <v>5.75</v>
      </c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</row>
    <row r="157" spans="1:33" x14ac:dyDescent="0.25">
      <c r="A157" s="85"/>
      <c r="B157" s="86" t="s">
        <v>160</v>
      </c>
      <c r="C157" s="87">
        <v>20</v>
      </c>
      <c r="D157" s="85">
        <v>21</v>
      </c>
      <c r="E157" s="85"/>
      <c r="F157" s="85"/>
      <c r="G157" s="85">
        <v>22</v>
      </c>
      <c r="H157" s="85">
        <v>22</v>
      </c>
      <c r="I157" s="85">
        <v>29</v>
      </c>
      <c r="J157" s="85">
        <v>18</v>
      </c>
      <c r="K157" s="85">
        <v>28</v>
      </c>
      <c r="L157" s="85">
        <v>27</v>
      </c>
      <c r="M157" s="85">
        <v>27</v>
      </c>
      <c r="N157" s="85">
        <v>15</v>
      </c>
      <c r="O157" s="85" t="s">
        <v>274</v>
      </c>
      <c r="P157" s="86"/>
      <c r="Q157" s="86">
        <f t="shared" si="6"/>
        <v>229</v>
      </c>
      <c r="R157" s="86">
        <f t="shared" si="7"/>
        <v>63.611111111111107</v>
      </c>
      <c r="S157" s="86">
        <f t="shared" si="8"/>
        <v>6.3611111111111107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</row>
    <row r="158" spans="1:33" x14ac:dyDescent="0.25">
      <c r="A158" s="85"/>
      <c r="B158" s="86" t="s">
        <v>161</v>
      </c>
      <c r="C158" s="87">
        <v>22</v>
      </c>
      <c r="D158" s="85">
        <v>18</v>
      </c>
      <c r="E158" s="85">
        <v>16</v>
      </c>
      <c r="F158" s="85">
        <v>16</v>
      </c>
      <c r="G158" s="85">
        <v>12</v>
      </c>
      <c r="H158" s="85">
        <v>14</v>
      </c>
      <c r="I158" s="85">
        <v>13</v>
      </c>
      <c r="J158" s="85">
        <v>8</v>
      </c>
      <c r="K158" s="85"/>
      <c r="L158" s="85"/>
      <c r="M158" s="85">
        <v>21</v>
      </c>
      <c r="N158" s="85">
        <v>21</v>
      </c>
      <c r="O158" s="85" t="s">
        <v>274</v>
      </c>
      <c r="P158" s="86"/>
      <c r="Q158" s="86">
        <f t="shared" si="6"/>
        <v>161</v>
      </c>
      <c r="R158" s="86">
        <f t="shared" si="7"/>
        <v>44.722222222222221</v>
      </c>
      <c r="S158" s="86">
        <f t="shared" si="8"/>
        <v>4.4722222222222223</v>
      </c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</row>
    <row r="159" spans="1:33" x14ac:dyDescent="0.25">
      <c r="A159" s="85"/>
      <c r="B159" s="86" t="s">
        <v>162</v>
      </c>
      <c r="C159" s="87">
        <v>24</v>
      </c>
      <c r="D159" s="85">
        <v>25</v>
      </c>
      <c r="E159" s="85">
        <v>21</v>
      </c>
      <c r="F159" s="85">
        <v>23</v>
      </c>
      <c r="G159" s="85">
        <v>23</v>
      </c>
      <c r="H159" s="85">
        <v>15</v>
      </c>
      <c r="I159" s="85">
        <v>16</v>
      </c>
      <c r="J159" s="85">
        <v>11</v>
      </c>
      <c r="K159" s="85">
        <v>25</v>
      </c>
      <c r="L159" s="85">
        <v>13</v>
      </c>
      <c r="M159" s="85">
        <v>28</v>
      </c>
      <c r="N159" s="85">
        <v>19</v>
      </c>
      <c r="O159" s="85" t="s">
        <v>274</v>
      </c>
      <c r="P159" s="86"/>
      <c r="Q159" s="86">
        <f t="shared" si="6"/>
        <v>243</v>
      </c>
      <c r="R159" s="86">
        <f t="shared" si="7"/>
        <v>67.5</v>
      </c>
      <c r="S159" s="86">
        <f t="shared" si="8"/>
        <v>6.75</v>
      </c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</row>
    <row r="160" spans="1:33" x14ac:dyDescent="0.25">
      <c r="A160" s="85"/>
      <c r="B160" s="86" t="s">
        <v>163</v>
      </c>
      <c r="C160" s="87">
        <v>17</v>
      </c>
      <c r="D160" s="85">
        <v>25</v>
      </c>
      <c r="E160" s="85"/>
      <c r="F160" s="85"/>
      <c r="G160" s="85">
        <v>23</v>
      </c>
      <c r="H160" s="85">
        <v>23</v>
      </c>
      <c r="I160" s="85">
        <v>20</v>
      </c>
      <c r="J160" s="85">
        <v>19</v>
      </c>
      <c r="K160" s="85">
        <v>20</v>
      </c>
      <c r="L160" s="85">
        <v>23</v>
      </c>
      <c r="M160" s="85"/>
      <c r="N160" s="85"/>
      <c r="O160" s="85" t="s">
        <v>274</v>
      </c>
      <c r="P160" s="86"/>
      <c r="Q160" s="86">
        <f t="shared" si="6"/>
        <v>170</v>
      </c>
      <c r="R160" s="86">
        <f t="shared" si="7"/>
        <v>47.222222222222221</v>
      </c>
      <c r="S160" s="86">
        <f t="shared" si="8"/>
        <v>4.7222222222222223</v>
      </c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</row>
    <row r="161" spans="1:33" x14ac:dyDescent="0.25">
      <c r="A161" s="85"/>
      <c r="B161" s="86" t="s">
        <v>164</v>
      </c>
      <c r="C161" s="87">
        <v>23</v>
      </c>
      <c r="D161" s="85">
        <v>23</v>
      </c>
      <c r="E161" s="85">
        <v>11</v>
      </c>
      <c r="F161" s="85">
        <v>12</v>
      </c>
      <c r="G161" s="85">
        <v>13</v>
      </c>
      <c r="H161" s="85">
        <v>11</v>
      </c>
      <c r="I161" s="85">
        <v>16</v>
      </c>
      <c r="J161" s="85">
        <v>13</v>
      </c>
      <c r="K161" s="85"/>
      <c r="L161" s="85">
        <v>29</v>
      </c>
      <c r="M161" s="85"/>
      <c r="N161" s="85"/>
      <c r="O161" s="85" t="s">
        <v>274</v>
      </c>
      <c r="P161" s="86"/>
      <c r="Q161" s="86">
        <f t="shared" si="6"/>
        <v>151</v>
      </c>
      <c r="R161" s="86">
        <f t="shared" si="7"/>
        <v>41.944444444444443</v>
      </c>
      <c r="S161" s="86">
        <f t="shared" si="8"/>
        <v>4.1944444444444446</v>
      </c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</row>
    <row r="162" spans="1:33" x14ac:dyDescent="0.25">
      <c r="A162" s="85"/>
      <c r="B162" s="86" t="s">
        <v>165</v>
      </c>
      <c r="C162" s="87">
        <v>11</v>
      </c>
      <c r="D162" s="85">
        <v>18</v>
      </c>
      <c r="E162" s="85">
        <v>6</v>
      </c>
      <c r="F162" s="85">
        <v>8</v>
      </c>
      <c r="G162" s="85">
        <v>15</v>
      </c>
      <c r="H162" s="85">
        <v>11</v>
      </c>
      <c r="I162" s="85">
        <v>13</v>
      </c>
      <c r="J162" s="85">
        <v>10</v>
      </c>
      <c r="K162" s="85">
        <v>17</v>
      </c>
      <c r="L162" s="85">
        <v>12</v>
      </c>
      <c r="M162" s="85">
        <v>10</v>
      </c>
      <c r="N162" s="85">
        <v>14</v>
      </c>
      <c r="O162" s="85" t="s">
        <v>274</v>
      </c>
      <c r="P162" s="86"/>
      <c r="Q162" s="86">
        <f t="shared" si="6"/>
        <v>145</v>
      </c>
      <c r="R162" s="86">
        <f t="shared" si="7"/>
        <v>40.277777777777779</v>
      </c>
      <c r="S162" s="86">
        <f t="shared" si="8"/>
        <v>4.0277777777777777</v>
      </c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</row>
    <row r="163" spans="1:33" x14ac:dyDescent="0.25">
      <c r="A163" s="85"/>
      <c r="B163" s="86" t="s">
        <v>166</v>
      </c>
      <c r="C163" s="87">
        <v>29</v>
      </c>
      <c r="D163" s="85">
        <v>27</v>
      </c>
      <c r="E163" s="85"/>
      <c r="F163" s="85"/>
      <c r="G163" s="85">
        <v>30</v>
      </c>
      <c r="H163" s="85">
        <v>28</v>
      </c>
      <c r="I163" s="85">
        <v>26</v>
      </c>
      <c r="J163" s="85">
        <v>16</v>
      </c>
      <c r="K163" s="85">
        <v>27</v>
      </c>
      <c r="L163" s="85">
        <v>26</v>
      </c>
      <c r="M163" s="85"/>
      <c r="N163" s="85"/>
      <c r="O163" s="85" t="s">
        <v>274</v>
      </c>
      <c r="P163" s="86"/>
      <c r="Q163" s="86">
        <f t="shared" si="6"/>
        <v>209</v>
      </c>
      <c r="R163" s="86">
        <f t="shared" si="7"/>
        <v>58.055555555555557</v>
      </c>
      <c r="S163" s="86">
        <f t="shared" si="8"/>
        <v>5.8055555555555562</v>
      </c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</row>
    <row r="164" spans="1:33" x14ac:dyDescent="0.25">
      <c r="A164" s="85"/>
      <c r="B164" s="86" t="s">
        <v>167</v>
      </c>
      <c r="C164" s="87">
        <v>26</v>
      </c>
      <c r="D164" s="85">
        <v>20</v>
      </c>
      <c r="E164" s="85">
        <v>12</v>
      </c>
      <c r="F164" s="85">
        <v>12</v>
      </c>
      <c r="G164" s="85">
        <v>12</v>
      </c>
      <c r="H164" s="85">
        <v>11</v>
      </c>
      <c r="I164" s="85">
        <v>20</v>
      </c>
      <c r="J164" s="85">
        <v>12</v>
      </c>
      <c r="K164" s="85">
        <v>18</v>
      </c>
      <c r="L164" s="85">
        <v>15</v>
      </c>
      <c r="M164" s="85">
        <v>18</v>
      </c>
      <c r="N164" s="85">
        <v>18</v>
      </c>
      <c r="O164" s="85" t="s">
        <v>274</v>
      </c>
      <c r="P164" s="86"/>
      <c r="Q164" s="86">
        <f t="shared" si="6"/>
        <v>194</v>
      </c>
      <c r="R164" s="86">
        <f t="shared" si="7"/>
        <v>53.888888888888886</v>
      </c>
      <c r="S164" s="86">
        <f t="shared" si="8"/>
        <v>5.3888888888888893</v>
      </c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</row>
    <row r="165" spans="1:33" x14ac:dyDescent="0.25">
      <c r="A165" s="85"/>
      <c r="B165" s="86" t="s">
        <v>168</v>
      </c>
      <c r="C165" s="87">
        <v>15</v>
      </c>
      <c r="D165" s="85">
        <v>20</v>
      </c>
      <c r="E165" s="85"/>
      <c r="F165" s="85"/>
      <c r="G165" s="85"/>
      <c r="H165" s="85"/>
      <c r="I165" s="85"/>
      <c r="J165" s="85"/>
      <c r="K165" s="85">
        <v>17</v>
      </c>
      <c r="L165" s="85">
        <v>14</v>
      </c>
      <c r="M165" s="85">
        <v>17</v>
      </c>
      <c r="N165" s="85">
        <v>14</v>
      </c>
      <c r="O165" s="85" t="s">
        <v>274</v>
      </c>
      <c r="P165" s="86"/>
      <c r="Q165" s="86">
        <f t="shared" si="6"/>
        <v>97</v>
      </c>
      <c r="R165" s="86">
        <f t="shared" si="7"/>
        <v>26.944444444444443</v>
      </c>
      <c r="S165" s="86">
        <f t="shared" si="8"/>
        <v>2.6944444444444446</v>
      </c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</row>
    <row r="166" spans="1:33" x14ac:dyDescent="0.25">
      <c r="A166" s="85"/>
      <c r="B166" s="86" t="s">
        <v>169</v>
      </c>
      <c r="C166" s="87">
        <v>28</v>
      </c>
      <c r="D166" s="85">
        <v>27</v>
      </c>
      <c r="E166" s="85"/>
      <c r="F166" s="85"/>
      <c r="G166" s="85">
        <v>30</v>
      </c>
      <c r="H166" s="85">
        <v>29</v>
      </c>
      <c r="I166" s="85">
        <v>28</v>
      </c>
      <c r="J166" s="85">
        <v>26</v>
      </c>
      <c r="K166" s="85">
        <v>30</v>
      </c>
      <c r="L166" s="85">
        <v>29</v>
      </c>
      <c r="M166" s="85">
        <v>30</v>
      </c>
      <c r="N166" s="85">
        <v>26</v>
      </c>
      <c r="O166" s="85" t="s">
        <v>274</v>
      </c>
      <c r="P166" s="86"/>
      <c r="Q166" s="86">
        <f t="shared" si="6"/>
        <v>283</v>
      </c>
      <c r="R166" s="86">
        <f t="shared" si="7"/>
        <v>78.611111111111114</v>
      </c>
      <c r="S166" s="86">
        <f t="shared" si="8"/>
        <v>7.8611111111111116</v>
      </c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</row>
    <row r="167" spans="1:33" x14ac:dyDescent="0.25">
      <c r="A167" s="85"/>
      <c r="B167" s="86" t="s">
        <v>170</v>
      </c>
      <c r="C167" s="87">
        <v>22</v>
      </c>
      <c r="D167" s="85">
        <v>21</v>
      </c>
      <c r="E167" s="85">
        <v>9</v>
      </c>
      <c r="F167" s="85">
        <v>19</v>
      </c>
      <c r="G167" s="85">
        <v>11</v>
      </c>
      <c r="H167" s="85">
        <v>12</v>
      </c>
      <c r="I167" s="85">
        <v>10</v>
      </c>
      <c r="J167" s="85">
        <v>14</v>
      </c>
      <c r="K167" s="85">
        <v>18</v>
      </c>
      <c r="L167" s="85">
        <v>20</v>
      </c>
      <c r="M167" s="85">
        <v>20</v>
      </c>
      <c r="N167" s="85">
        <v>19</v>
      </c>
      <c r="O167" s="85" t="s">
        <v>274</v>
      </c>
      <c r="P167" s="86"/>
      <c r="Q167" s="86">
        <f t="shared" si="6"/>
        <v>195</v>
      </c>
      <c r="R167" s="86">
        <f t="shared" si="7"/>
        <v>54.166666666666664</v>
      </c>
      <c r="S167" s="86">
        <f t="shared" si="8"/>
        <v>5.416666666666667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</row>
    <row r="168" spans="1:33" ht="15" customHeight="1" x14ac:dyDescent="0.25">
      <c r="A168" s="85"/>
      <c r="B168" s="86" t="s">
        <v>171</v>
      </c>
      <c r="C168" s="87">
        <v>27</v>
      </c>
      <c r="D168" s="85">
        <v>26</v>
      </c>
      <c r="E168" s="85"/>
      <c r="F168" s="85"/>
      <c r="G168" s="85">
        <v>29</v>
      </c>
      <c r="H168" s="85">
        <v>26</v>
      </c>
      <c r="I168" s="85">
        <v>27</v>
      </c>
      <c r="J168" s="85">
        <v>24</v>
      </c>
      <c r="K168" s="85"/>
      <c r="L168" s="85"/>
      <c r="M168" s="85">
        <v>27</v>
      </c>
      <c r="N168" s="85">
        <v>20</v>
      </c>
      <c r="O168" s="88" t="s">
        <v>275</v>
      </c>
      <c r="P168" s="86"/>
      <c r="Q168" s="86">
        <f t="shared" si="6"/>
        <v>206</v>
      </c>
      <c r="R168" s="86">
        <f t="shared" si="7"/>
        <v>57.222222222222221</v>
      </c>
      <c r="S168" s="86">
        <f t="shared" si="8"/>
        <v>5.7222222222222223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</row>
    <row r="169" spans="1:33" x14ac:dyDescent="0.25">
      <c r="A169" s="85"/>
      <c r="B169" s="86" t="s">
        <v>172</v>
      </c>
      <c r="C169" s="87">
        <v>20</v>
      </c>
      <c r="D169" s="85">
        <v>20</v>
      </c>
      <c r="E169" s="85">
        <v>8</v>
      </c>
      <c r="F169" s="85">
        <v>23</v>
      </c>
      <c r="G169" s="85">
        <v>19</v>
      </c>
      <c r="H169" s="85">
        <v>16</v>
      </c>
      <c r="I169" s="85">
        <v>17</v>
      </c>
      <c r="J169" s="85">
        <v>17</v>
      </c>
      <c r="K169" s="85">
        <v>27</v>
      </c>
      <c r="L169" s="85">
        <v>19</v>
      </c>
      <c r="M169" s="85">
        <v>23</v>
      </c>
      <c r="N169" s="85">
        <v>18</v>
      </c>
      <c r="O169" s="88" t="s">
        <v>275</v>
      </c>
      <c r="P169" s="86"/>
      <c r="Q169" s="86">
        <f t="shared" si="6"/>
        <v>227</v>
      </c>
      <c r="R169" s="86">
        <f t="shared" si="7"/>
        <v>63.055555555555557</v>
      </c>
      <c r="S169" s="86">
        <f t="shared" si="8"/>
        <v>6.3055555555555562</v>
      </c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</row>
    <row r="170" spans="1:33" x14ac:dyDescent="0.25">
      <c r="A170" s="85"/>
      <c r="B170" s="86" t="s">
        <v>173</v>
      </c>
      <c r="C170" s="87">
        <v>25</v>
      </c>
      <c r="D170" s="85">
        <v>19</v>
      </c>
      <c r="E170" s="85">
        <v>8</v>
      </c>
      <c r="F170" s="85">
        <v>17</v>
      </c>
      <c r="G170" s="85">
        <v>11</v>
      </c>
      <c r="H170" s="85">
        <v>15</v>
      </c>
      <c r="I170" s="85">
        <v>26</v>
      </c>
      <c r="J170" s="85">
        <v>20</v>
      </c>
      <c r="K170" s="85"/>
      <c r="L170" s="85">
        <v>15</v>
      </c>
      <c r="M170" s="85">
        <v>15</v>
      </c>
      <c r="N170" s="85">
        <v>16</v>
      </c>
      <c r="O170" s="88" t="s">
        <v>275</v>
      </c>
      <c r="P170" s="86"/>
      <c r="Q170" s="86">
        <f t="shared" si="6"/>
        <v>187</v>
      </c>
      <c r="R170" s="86">
        <f t="shared" si="7"/>
        <v>51.94444444444445</v>
      </c>
      <c r="S170" s="86">
        <f t="shared" si="8"/>
        <v>5.1944444444444455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</row>
    <row r="171" spans="1:33" x14ac:dyDescent="0.25">
      <c r="A171" s="85"/>
      <c r="B171" s="86" t="s">
        <v>174</v>
      </c>
      <c r="C171" s="87">
        <v>25</v>
      </c>
      <c r="D171" s="85">
        <v>22</v>
      </c>
      <c r="E171" s="85">
        <v>14</v>
      </c>
      <c r="F171" s="85">
        <v>23</v>
      </c>
      <c r="G171" s="85">
        <v>22</v>
      </c>
      <c r="H171" s="85">
        <v>21</v>
      </c>
      <c r="I171" s="85">
        <v>23</v>
      </c>
      <c r="J171" s="85"/>
      <c r="K171" s="85">
        <v>21</v>
      </c>
      <c r="L171" s="85">
        <v>16</v>
      </c>
      <c r="M171" s="85">
        <v>24</v>
      </c>
      <c r="N171" s="85">
        <v>22</v>
      </c>
      <c r="O171" s="88" t="s">
        <v>275</v>
      </c>
      <c r="P171" s="86"/>
      <c r="Q171" s="86">
        <f t="shared" si="6"/>
        <v>233</v>
      </c>
      <c r="R171" s="86">
        <f t="shared" si="7"/>
        <v>64.722222222222229</v>
      </c>
      <c r="S171" s="86">
        <f t="shared" si="8"/>
        <v>6.4722222222222232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</row>
    <row r="172" spans="1:33" x14ac:dyDescent="0.25">
      <c r="A172" s="85"/>
      <c r="B172" s="86" t="s">
        <v>175</v>
      </c>
      <c r="C172" s="87">
        <v>27</v>
      </c>
      <c r="D172" s="85">
        <v>27</v>
      </c>
      <c r="E172" s="85">
        <v>25</v>
      </c>
      <c r="F172" s="85">
        <v>28</v>
      </c>
      <c r="G172" s="85">
        <v>26</v>
      </c>
      <c r="H172" s="85">
        <v>27</v>
      </c>
      <c r="I172" s="85">
        <v>25</v>
      </c>
      <c r="J172" s="85">
        <v>22</v>
      </c>
      <c r="K172" s="85"/>
      <c r="L172" s="85">
        <v>25</v>
      </c>
      <c r="M172" s="85">
        <v>25</v>
      </c>
      <c r="N172" s="85">
        <v>24</v>
      </c>
      <c r="O172" s="88" t="s">
        <v>275</v>
      </c>
      <c r="P172" s="86"/>
      <c r="Q172" s="86">
        <f t="shared" si="6"/>
        <v>281</v>
      </c>
      <c r="R172" s="86">
        <f t="shared" si="7"/>
        <v>78.055555555555557</v>
      </c>
      <c r="S172" s="86">
        <f t="shared" si="8"/>
        <v>7.8055555555555562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</row>
    <row r="173" spans="1:33" x14ac:dyDescent="0.25">
      <c r="A173" s="85"/>
      <c r="B173" s="86" t="s">
        <v>176</v>
      </c>
      <c r="C173" s="87">
        <v>15</v>
      </c>
      <c r="D173" s="85">
        <v>15</v>
      </c>
      <c r="E173" s="85">
        <v>17</v>
      </c>
      <c r="F173" s="85">
        <v>11</v>
      </c>
      <c r="G173" s="85">
        <v>12</v>
      </c>
      <c r="H173" s="85">
        <v>7</v>
      </c>
      <c r="I173" s="85">
        <v>12</v>
      </c>
      <c r="J173" s="85">
        <v>12</v>
      </c>
      <c r="K173" s="85">
        <v>17</v>
      </c>
      <c r="L173" s="85">
        <v>15</v>
      </c>
      <c r="M173" s="85">
        <v>21</v>
      </c>
      <c r="N173" s="85">
        <v>20</v>
      </c>
      <c r="O173" s="88" t="s">
        <v>275</v>
      </c>
      <c r="P173" s="86"/>
      <c r="Q173" s="86">
        <f t="shared" si="6"/>
        <v>174</v>
      </c>
      <c r="R173" s="86">
        <f t="shared" si="7"/>
        <v>48.333333333333336</v>
      </c>
      <c r="S173" s="86">
        <f t="shared" si="8"/>
        <v>4.8333333333333339</v>
      </c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</row>
    <row r="174" spans="1:33" x14ac:dyDescent="0.25">
      <c r="A174" s="85"/>
      <c r="B174" s="86" t="s">
        <v>177</v>
      </c>
      <c r="C174" s="87">
        <v>23</v>
      </c>
      <c r="D174" s="85">
        <v>9</v>
      </c>
      <c r="E174" s="85">
        <v>8</v>
      </c>
      <c r="F174" s="85"/>
      <c r="G174" s="85"/>
      <c r="H174" s="85"/>
      <c r="I174" s="85">
        <v>13</v>
      </c>
      <c r="J174" s="85">
        <v>8</v>
      </c>
      <c r="K174" s="85">
        <v>11</v>
      </c>
      <c r="L174" s="85">
        <v>14</v>
      </c>
      <c r="M174" s="85">
        <v>15</v>
      </c>
      <c r="N174" s="85">
        <v>13</v>
      </c>
      <c r="O174" s="88" t="s">
        <v>275</v>
      </c>
      <c r="P174" s="86"/>
      <c r="Q174" s="86">
        <f t="shared" si="6"/>
        <v>114</v>
      </c>
      <c r="R174" s="86">
        <f t="shared" si="7"/>
        <v>31.666666666666664</v>
      </c>
      <c r="S174" s="86">
        <f t="shared" si="8"/>
        <v>3.1666666666666665</v>
      </c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</row>
    <row r="175" spans="1:33" x14ac:dyDescent="0.25">
      <c r="A175" s="85"/>
      <c r="B175" s="86" t="s">
        <v>314</v>
      </c>
      <c r="C175" s="87">
        <v>12</v>
      </c>
      <c r="D175" s="85">
        <v>13</v>
      </c>
      <c r="E175" s="85">
        <v>11</v>
      </c>
      <c r="F175" s="85">
        <v>15</v>
      </c>
      <c r="G175" s="85">
        <v>12</v>
      </c>
      <c r="H175" s="85">
        <v>9</v>
      </c>
      <c r="I175" s="85">
        <v>13</v>
      </c>
      <c r="J175" s="85">
        <v>11</v>
      </c>
      <c r="K175" s="85">
        <v>21</v>
      </c>
      <c r="L175" s="85"/>
      <c r="M175" s="85">
        <v>18</v>
      </c>
      <c r="N175" s="85"/>
      <c r="O175" s="89" t="s">
        <v>276</v>
      </c>
      <c r="P175" s="86"/>
      <c r="Q175" s="86">
        <f t="shared" si="6"/>
        <v>135</v>
      </c>
      <c r="R175" s="86">
        <f t="shared" si="7"/>
        <v>37.5</v>
      </c>
      <c r="S175" s="86">
        <f t="shared" si="8"/>
        <v>3.75</v>
      </c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</row>
    <row r="176" spans="1:33" x14ac:dyDescent="0.25">
      <c r="A176" s="85"/>
      <c r="B176" s="86" t="s">
        <v>179</v>
      </c>
      <c r="C176" s="87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9" t="s">
        <v>276</v>
      </c>
      <c r="P176" s="86"/>
      <c r="Q176" s="86">
        <f t="shared" si="6"/>
        <v>0</v>
      </c>
      <c r="R176" s="86">
        <f t="shared" si="7"/>
        <v>0</v>
      </c>
      <c r="S176" s="86">
        <f t="shared" si="8"/>
        <v>0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</row>
    <row r="177" spans="1:33" x14ac:dyDescent="0.25">
      <c r="A177" s="85"/>
      <c r="B177" s="86" t="s">
        <v>180</v>
      </c>
      <c r="C177" s="87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9" t="s">
        <v>276</v>
      </c>
      <c r="P177" s="86"/>
      <c r="Q177" s="86">
        <f t="shared" si="6"/>
        <v>0</v>
      </c>
      <c r="R177" s="86">
        <f t="shared" si="7"/>
        <v>0</v>
      </c>
      <c r="S177" s="86">
        <f t="shared" si="8"/>
        <v>0</v>
      </c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</row>
    <row r="178" spans="1:33" x14ac:dyDescent="0.25">
      <c r="A178" s="85"/>
      <c r="B178" s="86" t="s">
        <v>181</v>
      </c>
      <c r="C178" s="87">
        <v>11</v>
      </c>
      <c r="D178" s="85">
        <v>17</v>
      </c>
      <c r="E178" s="85">
        <v>10</v>
      </c>
      <c r="F178" s="85">
        <v>19</v>
      </c>
      <c r="G178" s="85">
        <v>17</v>
      </c>
      <c r="H178" s="85">
        <v>10</v>
      </c>
      <c r="I178" s="85">
        <v>16</v>
      </c>
      <c r="J178" s="85">
        <v>11</v>
      </c>
      <c r="K178" s="85"/>
      <c r="L178" s="85"/>
      <c r="M178" s="85"/>
      <c r="N178" s="85">
        <v>17</v>
      </c>
      <c r="O178" s="89" t="s">
        <v>276</v>
      </c>
      <c r="P178" s="86"/>
      <c r="Q178" s="86">
        <f t="shared" si="6"/>
        <v>128</v>
      </c>
      <c r="R178" s="86">
        <f t="shared" si="7"/>
        <v>35.555555555555557</v>
      </c>
      <c r="S178" s="86">
        <f t="shared" si="8"/>
        <v>3.5555555555555558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</row>
    <row r="179" spans="1:33" x14ac:dyDescent="0.25">
      <c r="A179" s="85"/>
      <c r="B179" s="86" t="s">
        <v>182</v>
      </c>
      <c r="C179" s="87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9" t="s">
        <v>276</v>
      </c>
      <c r="P179" s="86"/>
      <c r="Q179" s="86">
        <f t="shared" si="6"/>
        <v>0</v>
      </c>
      <c r="R179" s="86">
        <f t="shared" si="7"/>
        <v>0</v>
      </c>
      <c r="S179" s="86">
        <f t="shared" si="8"/>
        <v>0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</row>
    <row r="180" spans="1:33" x14ac:dyDescent="0.25">
      <c r="A180" s="85"/>
      <c r="B180" s="86" t="s">
        <v>315</v>
      </c>
      <c r="C180" s="87"/>
      <c r="D180" s="85"/>
      <c r="E180" s="85">
        <v>9</v>
      </c>
      <c r="F180" s="85">
        <v>16</v>
      </c>
      <c r="G180" s="85"/>
      <c r="H180" s="85"/>
      <c r="I180" s="85"/>
      <c r="J180" s="85"/>
      <c r="K180" s="85"/>
      <c r="L180" s="85"/>
      <c r="M180" s="85"/>
      <c r="N180" s="85"/>
      <c r="O180" s="89" t="s">
        <v>276</v>
      </c>
      <c r="P180" s="86"/>
      <c r="Q180" s="86">
        <f t="shared" si="6"/>
        <v>25</v>
      </c>
      <c r="R180" s="86">
        <f t="shared" si="7"/>
        <v>6.9444444444444446</v>
      </c>
      <c r="S180" s="86">
        <f t="shared" si="8"/>
        <v>0.69444444444444453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</row>
    <row r="181" spans="1:33" x14ac:dyDescent="0.25">
      <c r="A181" s="85"/>
      <c r="B181" s="86" t="s">
        <v>184</v>
      </c>
      <c r="C181" s="87"/>
      <c r="D181" s="85">
        <v>18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9" t="s">
        <v>276</v>
      </c>
      <c r="P181" s="86"/>
      <c r="Q181" s="86">
        <f t="shared" si="6"/>
        <v>18</v>
      </c>
      <c r="R181" s="86">
        <f t="shared" si="7"/>
        <v>5</v>
      </c>
      <c r="S181" s="86">
        <f t="shared" si="8"/>
        <v>0.5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</row>
    <row r="182" spans="1:33" x14ac:dyDescent="0.25">
      <c r="A182" s="85"/>
      <c r="B182" s="86" t="s">
        <v>185</v>
      </c>
      <c r="C182" s="87"/>
      <c r="D182" s="85"/>
      <c r="E182" s="85"/>
      <c r="F182" s="85"/>
      <c r="G182" s="85"/>
      <c r="H182" s="85"/>
      <c r="I182" s="86"/>
      <c r="J182" s="86"/>
      <c r="K182" s="86"/>
      <c r="L182" s="85"/>
      <c r="M182" s="85"/>
      <c r="N182" s="85"/>
      <c r="O182" s="89" t="s">
        <v>276</v>
      </c>
      <c r="P182" s="86"/>
      <c r="Q182" s="86">
        <f t="shared" si="6"/>
        <v>0</v>
      </c>
      <c r="R182" s="86">
        <f t="shared" si="7"/>
        <v>0</v>
      </c>
      <c r="S182" s="86">
        <f t="shared" si="8"/>
        <v>0</v>
      </c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</row>
    <row r="183" spans="1:33" x14ac:dyDescent="0.25">
      <c r="A183" s="85">
        <v>1</v>
      </c>
      <c r="B183" s="86" t="s">
        <v>186</v>
      </c>
      <c r="C183" s="87">
        <v>27</v>
      </c>
      <c r="D183" s="85">
        <v>27</v>
      </c>
      <c r="E183" s="85">
        <v>27</v>
      </c>
      <c r="F183" s="85">
        <v>26</v>
      </c>
      <c r="G183" s="85">
        <v>24</v>
      </c>
      <c r="H183" s="85">
        <v>25</v>
      </c>
      <c r="I183" s="85">
        <v>25</v>
      </c>
      <c r="J183" s="85">
        <v>23</v>
      </c>
      <c r="K183" s="85">
        <v>28</v>
      </c>
      <c r="L183" s="85">
        <v>26</v>
      </c>
      <c r="M183" s="85">
        <v>30</v>
      </c>
      <c r="N183" s="85">
        <v>25</v>
      </c>
      <c r="O183" s="85" t="s">
        <v>277</v>
      </c>
      <c r="P183" s="86"/>
      <c r="Q183" s="86">
        <f t="shared" si="6"/>
        <v>313</v>
      </c>
      <c r="R183" s="86">
        <f t="shared" si="7"/>
        <v>86.944444444444443</v>
      </c>
      <c r="S183" s="86">
        <f t="shared" si="8"/>
        <v>8.6944444444444446</v>
      </c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</row>
    <row r="184" spans="1:33" x14ac:dyDescent="0.25">
      <c r="A184" s="85">
        <v>2</v>
      </c>
      <c r="B184" s="86" t="s">
        <v>187</v>
      </c>
      <c r="C184" s="87"/>
      <c r="D184" s="85"/>
      <c r="E184" s="85">
        <v>12</v>
      </c>
      <c r="F184" s="85">
        <v>19</v>
      </c>
      <c r="G184" s="85">
        <v>14</v>
      </c>
      <c r="H184" s="85">
        <v>10</v>
      </c>
      <c r="I184" s="85">
        <v>19</v>
      </c>
      <c r="J184" s="85">
        <v>13</v>
      </c>
      <c r="K184" s="85">
        <v>23</v>
      </c>
      <c r="L184" s="85">
        <v>23</v>
      </c>
      <c r="M184" s="85">
        <v>20</v>
      </c>
      <c r="N184" s="85">
        <v>23</v>
      </c>
      <c r="O184" s="85" t="s">
        <v>277</v>
      </c>
      <c r="P184" s="86"/>
      <c r="Q184" s="86">
        <f t="shared" si="6"/>
        <v>176</v>
      </c>
      <c r="R184" s="86">
        <f t="shared" si="7"/>
        <v>48.888888888888886</v>
      </c>
      <c r="S184" s="86">
        <f t="shared" si="8"/>
        <v>4.8888888888888893</v>
      </c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</row>
    <row r="185" spans="1:33" x14ac:dyDescent="0.25">
      <c r="A185" s="85">
        <v>3</v>
      </c>
      <c r="B185" s="86" t="s">
        <v>188</v>
      </c>
      <c r="C185" s="87">
        <v>17</v>
      </c>
      <c r="D185" s="85">
        <v>19</v>
      </c>
      <c r="E185" s="85">
        <v>12</v>
      </c>
      <c r="F185" s="85">
        <v>13</v>
      </c>
      <c r="G185" s="85"/>
      <c r="H185" s="85"/>
      <c r="I185" s="85">
        <v>19</v>
      </c>
      <c r="J185" s="85">
        <v>17</v>
      </c>
      <c r="K185" s="85">
        <v>22</v>
      </c>
      <c r="L185" s="85">
        <v>21</v>
      </c>
      <c r="M185" s="85"/>
      <c r="N185" s="85">
        <v>22</v>
      </c>
      <c r="O185" s="85" t="s">
        <v>277</v>
      </c>
      <c r="P185" s="86"/>
      <c r="Q185" s="86">
        <f t="shared" si="6"/>
        <v>162</v>
      </c>
      <c r="R185" s="86">
        <f t="shared" si="7"/>
        <v>45</v>
      </c>
      <c r="S185" s="86">
        <f t="shared" si="8"/>
        <v>4.5</v>
      </c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</row>
    <row r="186" spans="1:33" x14ac:dyDescent="0.25">
      <c r="A186" s="85">
        <v>4</v>
      </c>
      <c r="B186" s="86" t="s">
        <v>189</v>
      </c>
      <c r="C186" s="87">
        <v>30</v>
      </c>
      <c r="D186" s="85">
        <v>25</v>
      </c>
      <c r="E186" s="85">
        <v>28</v>
      </c>
      <c r="F186" s="85">
        <v>26</v>
      </c>
      <c r="G186" s="85">
        <v>21</v>
      </c>
      <c r="H186" s="85">
        <v>28</v>
      </c>
      <c r="I186" s="85">
        <v>18</v>
      </c>
      <c r="J186" s="85">
        <v>21</v>
      </c>
      <c r="K186" s="85">
        <v>22</v>
      </c>
      <c r="L186" s="85">
        <v>17</v>
      </c>
      <c r="M186" s="85">
        <v>28</v>
      </c>
      <c r="N186" s="85">
        <v>26</v>
      </c>
      <c r="O186" s="85" t="s">
        <v>277</v>
      </c>
      <c r="P186" s="86"/>
      <c r="Q186" s="86">
        <f t="shared" si="6"/>
        <v>290</v>
      </c>
      <c r="R186" s="86">
        <f t="shared" si="7"/>
        <v>80.555555555555557</v>
      </c>
      <c r="S186" s="86">
        <f t="shared" si="8"/>
        <v>8.0555555555555554</v>
      </c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</row>
    <row r="187" spans="1:33" x14ac:dyDescent="0.25">
      <c r="A187" s="85">
        <v>5</v>
      </c>
      <c r="B187" s="86" t="s">
        <v>190</v>
      </c>
      <c r="C187" s="87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 t="s">
        <v>277</v>
      </c>
      <c r="P187" s="86"/>
      <c r="Q187" s="86">
        <f t="shared" si="6"/>
        <v>0</v>
      </c>
      <c r="R187" s="86">
        <f t="shared" si="7"/>
        <v>0</v>
      </c>
      <c r="S187" s="86">
        <f t="shared" si="8"/>
        <v>0</v>
      </c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</row>
    <row r="188" spans="1:33" x14ac:dyDescent="0.25">
      <c r="A188" s="85">
        <v>6</v>
      </c>
      <c r="B188" s="86" t="s">
        <v>191</v>
      </c>
      <c r="C188" s="87">
        <v>30</v>
      </c>
      <c r="D188" s="85">
        <v>28</v>
      </c>
      <c r="E188" s="85">
        <v>22</v>
      </c>
      <c r="F188" s="85">
        <v>28</v>
      </c>
      <c r="G188" s="85">
        <v>30</v>
      </c>
      <c r="H188" s="85">
        <v>28</v>
      </c>
      <c r="I188" s="85">
        <v>28</v>
      </c>
      <c r="J188" s="85">
        <v>15</v>
      </c>
      <c r="K188" s="85">
        <v>25</v>
      </c>
      <c r="L188" s="85">
        <v>24</v>
      </c>
      <c r="M188" s="85">
        <v>25</v>
      </c>
      <c r="N188" s="85">
        <v>25</v>
      </c>
      <c r="O188" s="85" t="s">
        <v>277</v>
      </c>
      <c r="P188" s="86"/>
      <c r="Q188" s="86">
        <f t="shared" si="6"/>
        <v>308</v>
      </c>
      <c r="R188" s="86">
        <f t="shared" si="7"/>
        <v>85.555555555555557</v>
      </c>
      <c r="S188" s="86">
        <f t="shared" si="8"/>
        <v>8.5555555555555554</v>
      </c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</row>
    <row r="189" spans="1:33" x14ac:dyDescent="0.25">
      <c r="A189" s="85">
        <v>7</v>
      </c>
      <c r="B189" s="86" t="s">
        <v>192</v>
      </c>
      <c r="C189" s="87">
        <v>27</v>
      </c>
      <c r="D189" s="85">
        <v>26</v>
      </c>
      <c r="E189" s="85">
        <v>29</v>
      </c>
      <c r="F189" s="85">
        <v>30</v>
      </c>
      <c r="G189" s="85">
        <v>28</v>
      </c>
      <c r="H189" s="85">
        <v>28</v>
      </c>
      <c r="I189" s="85">
        <v>25</v>
      </c>
      <c r="J189" s="85">
        <v>22</v>
      </c>
      <c r="K189" s="85">
        <v>27</v>
      </c>
      <c r="L189" s="85">
        <v>29</v>
      </c>
      <c r="M189" s="85">
        <v>28</v>
      </c>
      <c r="N189" s="85">
        <v>25</v>
      </c>
      <c r="O189" s="85" t="s">
        <v>277</v>
      </c>
      <c r="P189" s="86"/>
      <c r="Q189" s="86">
        <f t="shared" si="6"/>
        <v>324</v>
      </c>
      <c r="R189" s="86">
        <f t="shared" si="7"/>
        <v>90</v>
      </c>
      <c r="S189" s="86">
        <f t="shared" si="8"/>
        <v>9</v>
      </c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</row>
    <row r="190" spans="1:33" x14ac:dyDescent="0.25">
      <c r="A190" s="85">
        <v>8</v>
      </c>
      <c r="B190" s="86" t="s">
        <v>193</v>
      </c>
      <c r="C190" s="87">
        <v>30</v>
      </c>
      <c r="D190" s="85">
        <v>29</v>
      </c>
      <c r="E190" s="85">
        <v>18</v>
      </c>
      <c r="F190" s="85">
        <v>29</v>
      </c>
      <c r="G190" s="85">
        <v>29</v>
      </c>
      <c r="H190" s="85">
        <v>27</v>
      </c>
      <c r="I190" s="85">
        <v>28</v>
      </c>
      <c r="J190" s="85">
        <v>24</v>
      </c>
      <c r="K190" s="85">
        <v>28</v>
      </c>
      <c r="L190" s="85">
        <v>23</v>
      </c>
      <c r="M190" s="85">
        <v>29</v>
      </c>
      <c r="N190" s="85">
        <v>24</v>
      </c>
      <c r="O190" s="85" t="s">
        <v>277</v>
      </c>
      <c r="P190" s="86"/>
      <c r="Q190" s="86">
        <f t="shared" si="6"/>
        <v>318</v>
      </c>
      <c r="R190" s="86">
        <f t="shared" si="7"/>
        <v>88.333333333333329</v>
      </c>
      <c r="S190" s="86">
        <f t="shared" si="8"/>
        <v>8.8333333333333339</v>
      </c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</row>
    <row r="191" spans="1:33" x14ac:dyDescent="0.25">
      <c r="A191" s="85">
        <v>9</v>
      </c>
      <c r="B191" s="86" t="s">
        <v>194</v>
      </c>
      <c r="C191" s="87">
        <v>24</v>
      </c>
      <c r="D191" s="85">
        <v>25</v>
      </c>
      <c r="E191" s="85">
        <v>26</v>
      </c>
      <c r="F191" s="85">
        <v>28</v>
      </c>
      <c r="G191" s="85">
        <v>29</v>
      </c>
      <c r="H191" s="85">
        <v>27</v>
      </c>
      <c r="I191" s="85">
        <v>25</v>
      </c>
      <c r="J191" s="85">
        <v>23</v>
      </c>
      <c r="K191" s="85">
        <v>26</v>
      </c>
      <c r="L191" s="85">
        <v>26</v>
      </c>
      <c r="M191" s="85">
        <v>26</v>
      </c>
      <c r="N191" s="85">
        <v>27</v>
      </c>
      <c r="O191" s="85" t="s">
        <v>277</v>
      </c>
      <c r="P191" s="86"/>
      <c r="Q191" s="86">
        <f t="shared" si="6"/>
        <v>312</v>
      </c>
      <c r="R191" s="86">
        <f t="shared" si="7"/>
        <v>86.666666666666671</v>
      </c>
      <c r="S191" s="86">
        <f t="shared" si="8"/>
        <v>8.6666666666666679</v>
      </c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</row>
    <row r="192" spans="1:33" x14ac:dyDescent="0.25">
      <c r="A192" s="85">
        <v>10</v>
      </c>
      <c r="B192" s="86" t="s">
        <v>195</v>
      </c>
      <c r="C192" s="87">
        <v>26</v>
      </c>
      <c r="D192" s="85">
        <v>21</v>
      </c>
      <c r="E192" s="85">
        <v>17</v>
      </c>
      <c r="F192" s="85">
        <v>20</v>
      </c>
      <c r="G192" s="85">
        <v>27</v>
      </c>
      <c r="H192" s="85">
        <v>10</v>
      </c>
      <c r="I192" s="85">
        <v>21</v>
      </c>
      <c r="J192" s="85">
        <v>26</v>
      </c>
      <c r="K192" s="85">
        <v>26</v>
      </c>
      <c r="L192" s="85">
        <v>25</v>
      </c>
      <c r="M192" s="85">
        <v>24</v>
      </c>
      <c r="N192" s="85">
        <v>17</v>
      </c>
      <c r="O192" s="85" t="s">
        <v>277</v>
      </c>
      <c r="P192" s="86"/>
      <c r="Q192" s="86">
        <f t="shared" si="6"/>
        <v>260</v>
      </c>
      <c r="R192" s="86">
        <f t="shared" si="7"/>
        <v>72.222222222222214</v>
      </c>
      <c r="S192" s="86">
        <f t="shared" si="8"/>
        <v>7.2222222222222214</v>
      </c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</row>
    <row r="193" spans="1:33" x14ac:dyDescent="0.25">
      <c r="A193" s="85">
        <v>11</v>
      </c>
      <c r="B193" s="86" t="s">
        <v>196</v>
      </c>
      <c r="C193" s="87">
        <v>7</v>
      </c>
      <c r="D193" s="85">
        <v>20</v>
      </c>
      <c r="E193" s="85">
        <v>17</v>
      </c>
      <c r="F193" s="85">
        <v>15</v>
      </c>
      <c r="G193" s="85">
        <v>13</v>
      </c>
      <c r="H193" s="85">
        <v>17</v>
      </c>
      <c r="I193" s="85">
        <v>16</v>
      </c>
      <c r="J193" s="85">
        <v>10</v>
      </c>
      <c r="K193" s="85">
        <v>16</v>
      </c>
      <c r="L193" s="85">
        <v>17</v>
      </c>
      <c r="M193" s="85">
        <v>23</v>
      </c>
      <c r="N193" s="85">
        <v>16</v>
      </c>
      <c r="O193" s="85" t="s">
        <v>277</v>
      </c>
      <c r="P193" s="86"/>
      <c r="Q193" s="86">
        <f t="shared" si="6"/>
        <v>187</v>
      </c>
      <c r="R193" s="86">
        <f t="shared" si="7"/>
        <v>51.94444444444445</v>
      </c>
      <c r="S193" s="86">
        <f t="shared" si="8"/>
        <v>5.1944444444444455</v>
      </c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</row>
    <row r="194" spans="1:33" x14ac:dyDescent="0.25">
      <c r="A194" s="85">
        <v>12</v>
      </c>
      <c r="B194" s="86" t="s">
        <v>197</v>
      </c>
      <c r="C194" s="87">
        <v>7</v>
      </c>
      <c r="D194" s="85">
        <v>11</v>
      </c>
      <c r="E194" s="85">
        <v>7</v>
      </c>
      <c r="F194" s="85">
        <v>11</v>
      </c>
      <c r="G194" s="85">
        <v>17</v>
      </c>
      <c r="H194" s="85">
        <v>13</v>
      </c>
      <c r="I194" s="85">
        <v>5</v>
      </c>
      <c r="J194" s="85">
        <v>15</v>
      </c>
      <c r="K194" s="85">
        <v>14</v>
      </c>
      <c r="L194" s="85">
        <v>15</v>
      </c>
      <c r="M194" s="85">
        <v>14</v>
      </c>
      <c r="N194" s="85">
        <v>19</v>
      </c>
      <c r="O194" s="85" t="s">
        <v>277</v>
      </c>
      <c r="P194" s="86"/>
      <c r="Q194" s="86">
        <f t="shared" si="6"/>
        <v>148</v>
      </c>
      <c r="R194" s="86">
        <f t="shared" si="7"/>
        <v>41.111111111111107</v>
      </c>
      <c r="S194" s="86">
        <f t="shared" si="8"/>
        <v>4.1111111111111107</v>
      </c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</row>
    <row r="195" spans="1:33" x14ac:dyDescent="0.25">
      <c r="A195" s="85">
        <v>13</v>
      </c>
      <c r="B195" s="86" t="s">
        <v>198</v>
      </c>
      <c r="C195" s="87">
        <v>14</v>
      </c>
      <c r="D195" s="85">
        <v>14</v>
      </c>
      <c r="E195" s="85">
        <v>10</v>
      </c>
      <c r="F195" s="85">
        <v>16</v>
      </c>
      <c r="G195" s="85">
        <v>16</v>
      </c>
      <c r="H195" s="85">
        <v>10</v>
      </c>
      <c r="I195" s="85">
        <v>14</v>
      </c>
      <c r="J195" s="85">
        <v>11</v>
      </c>
      <c r="K195" s="85">
        <v>20</v>
      </c>
      <c r="L195" s="85">
        <v>13</v>
      </c>
      <c r="M195" s="85">
        <v>18</v>
      </c>
      <c r="N195" s="85">
        <v>13</v>
      </c>
      <c r="O195" s="85" t="s">
        <v>277</v>
      </c>
      <c r="P195" s="86"/>
      <c r="Q195" s="86">
        <f t="shared" ref="Q195:Q228" si="9">SUM(C195:N195)</f>
        <v>169</v>
      </c>
      <c r="R195" s="86">
        <f t="shared" ref="R195:R228" si="10">(Q195/360)*100</f>
        <v>46.944444444444443</v>
      </c>
      <c r="S195" s="86">
        <f t="shared" ref="S195:S228" si="11">R195*0.1</f>
        <v>4.6944444444444446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</row>
    <row r="196" spans="1:33" x14ac:dyDescent="0.25">
      <c r="A196" s="85">
        <v>14</v>
      </c>
      <c r="B196" s="86" t="s">
        <v>199</v>
      </c>
      <c r="C196" s="87">
        <v>28</v>
      </c>
      <c r="D196" s="85">
        <v>28</v>
      </c>
      <c r="E196" s="85">
        <v>12</v>
      </c>
      <c r="F196" s="85">
        <v>28</v>
      </c>
      <c r="G196" s="85">
        <v>29</v>
      </c>
      <c r="H196" s="85">
        <v>27</v>
      </c>
      <c r="I196" s="85">
        <v>23</v>
      </c>
      <c r="J196" s="85">
        <v>14</v>
      </c>
      <c r="K196" s="85">
        <v>22</v>
      </c>
      <c r="L196" s="85">
        <v>15</v>
      </c>
      <c r="M196" s="85">
        <v>27</v>
      </c>
      <c r="N196" s="85">
        <v>19</v>
      </c>
      <c r="O196" s="85" t="s">
        <v>277</v>
      </c>
      <c r="P196" s="86"/>
      <c r="Q196" s="86">
        <f t="shared" si="9"/>
        <v>272</v>
      </c>
      <c r="R196" s="86">
        <f t="shared" si="10"/>
        <v>75.555555555555557</v>
      </c>
      <c r="S196" s="86">
        <f t="shared" si="11"/>
        <v>7.5555555555555562</v>
      </c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</row>
    <row r="197" spans="1:33" x14ac:dyDescent="0.25">
      <c r="A197" s="85">
        <v>15</v>
      </c>
      <c r="B197" s="86" t="s">
        <v>200</v>
      </c>
      <c r="C197" s="87">
        <v>28</v>
      </c>
      <c r="D197" s="85">
        <v>28</v>
      </c>
      <c r="E197" s="85">
        <v>24</v>
      </c>
      <c r="F197" s="85">
        <v>20</v>
      </c>
      <c r="G197" s="85">
        <v>27</v>
      </c>
      <c r="H197" s="85">
        <v>22</v>
      </c>
      <c r="I197" s="85">
        <v>25</v>
      </c>
      <c r="J197" s="85">
        <v>22</v>
      </c>
      <c r="K197" s="85">
        <v>26</v>
      </c>
      <c r="L197" s="85">
        <v>24</v>
      </c>
      <c r="M197" s="85">
        <v>28</v>
      </c>
      <c r="N197" s="85">
        <v>22</v>
      </c>
      <c r="O197" s="85" t="s">
        <v>277</v>
      </c>
      <c r="P197" s="86"/>
      <c r="Q197" s="86">
        <f t="shared" si="9"/>
        <v>296</v>
      </c>
      <c r="R197" s="86">
        <f t="shared" si="10"/>
        <v>82.222222222222214</v>
      </c>
      <c r="S197" s="86">
        <f t="shared" si="11"/>
        <v>8.2222222222222214</v>
      </c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</row>
    <row r="198" spans="1:33" x14ac:dyDescent="0.25">
      <c r="A198" s="85">
        <v>16</v>
      </c>
      <c r="B198" s="86" t="s">
        <v>201</v>
      </c>
      <c r="C198" s="87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 t="s">
        <v>277</v>
      </c>
      <c r="P198" s="86"/>
      <c r="Q198" s="86">
        <f t="shared" si="9"/>
        <v>0</v>
      </c>
      <c r="R198" s="86">
        <f t="shared" si="10"/>
        <v>0</v>
      </c>
      <c r="S198" s="86">
        <f t="shared" si="11"/>
        <v>0</v>
      </c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</row>
    <row r="199" spans="1:33" x14ac:dyDescent="0.25">
      <c r="A199" s="85">
        <v>17</v>
      </c>
      <c r="B199" s="86" t="s">
        <v>202</v>
      </c>
      <c r="C199" s="87">
        <v>23</v>
      </c>
      <c r="D199" s="85">
        <v>25</v>
      </c>
      <c r="E199" s="85">
        <v>21</v>
      </c>
      <c r="F199" s="85">
        <v>26</v>
      </c>
      <c r="G199" s="85">
        <v>26</v>
      </c>
      <c r="H199" s="85">
        <v>25</v>
      </c>
      <c r="I199" s="85">
        <v>24</v>
      </c>
      <c r="J199" s="85">
        <v>19</v>
      </c>
      <c r="K199" s="85">
        <v>27</v>
      </c>
      <c r="L199" s="85">
        <v>23</v>
      </c>
      <c r="M199" s="85">
        <v>28</v>
      </c>
      <c r="N199" s="85">
        <v>24</v>
      </c>
      <c r="O199" s="85" t="s">
        <v>277</v>
      </c>
      <c r="P199" s="86"/>
      <c r="Q199" s="86">
        <f t="shared" si="9"/>
        <v>291</v>
      </c>
      <c r="R199" s="86">
        <f t="shared" si="10"/>
        <v>80.833333333333329</v>
      </c>
      <c r="S199" s="86">
        <f t="shared" si="11"/>
        <v>8.0833333333333339</v>
      </c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</row>
    <row r="200" spans="1:33" x14ac:dyDescent="0.25">
      <c r="A200" s="85">
        <v>18</v>
      </c>
      <c r="B200" s="86" t="s">
        <v>203</v>
      </c>
      <c r="C200" s="87">
        <v>23</v>
      </c>
      <c r="D200" s="85">
        <v>26</v>
      </c>
      <c r="E200" s="85">
        <v>26</v>
      </c>
      <c r="F200" s="85">
        <v>27</v>
      </c>
      <c r="G200" s="85">
        <v>22</v>
      </c>
      <c r="H200" s="85">
        <v>22</v>
      </c>
      <c r="I200" s="85">
        <v>22</v>
      </c>
      <c r="J200" s="85">
        <v>19</v>
      </c>
      <c r="K200" s="85">
        <v>28</v>
      </c>
      <c r="L200" s="85">
        <v>27</v>
      </c>
      <c r="M200" s="85">
        <v>26</v>
      </c>
      <c r="N200" s="85">
        <v>24</v>
      </c>
      <c r="O200" s="85" t="s">
        <v>277</v>
      </c>
      <c r="P200" s="86"/>
      <c r="Q200" s="86">
        <f t="shared" si="9"/>
        <v>292</v>
      </c>
      <c r="R200" s="86">
        <f t="shared" si="10"/>
        <v>81.111111111111114</v>
      </c>
      <c r="S200" s="86">
        <f t="shared" si="11"/>
        <v>8.1111111111111125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</row>
    <row r="201" spans="1:33" x14ac:dyDescent="0.25">
      <c r="A201" s="85">
        <v>19</v>
      </c>
      <c r="B201" s="86" t="s">
        <v>204</v>
      </c>
      <c r="C201" s="87">
        <v>21</v>
      </c>
      <c r="D201" s="85">
        <v>20</v>
      </c>
      <c r="E201" s="85">
        <v>15</v>
      </c>
      <c r="F201" s="85">
        <v>20</v>
      </c>
      <c r="G201" s="85">
        <v>20</v>
      </c>
      <c r="H201" s="85">
        <v>19</v>
      </c>
      <c r="I201" s="85">
        <v>15</v>
      </c>
      <c r="J201" s="85">
        <v>18</v>
      </c>
      <c r="K201" s="85">
        <v>25</v>
      </c>
      <c r="L201" s="85">
        <v>23</v>
      </c>
      <c r="M201" s="85">
        <v>28</v>
      </c>
      <c r="N201" s="85">
        <v>22</v>
      </c>
      <c r="O201" s="85" t="s">
        <v>277</v>
      </c>
      <c r="P201" s="86"/>
      <c r="Q201" s="86">
        <f t="shared" si="9"/>
        <v>246</v>
      </c>
      <c r="R201" s="86">
        <f t="shared" si="10"/>
        <v>68.333333333333329</v>
      </c>
      <c r="S201" s="86">
        <f t="shared" si="11"/>
        <v>6.833333333333333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</row>
    <row r="202" spans="1:33" x14ac:dyDescent="0.25">
      <c r="A202" s="85">
        <v>20</v>
      </c>
      <c r="B202" s="86" t="s">
        <v>205</v>
      </c>
      <c r="C202" s="87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 t="s">
        <v>277</v>
      </c>
      <c r="P202" s="86"/>
      <c r="Q202" s="86">
        <f t="shared" si="9"/>
        <v>0</v>
      </c>
      <c r="R202" s="86">
        <f t="shared" si="10"/>
        <v>0</v>
      </c>
      <c r="S202" s="86">
        <f t="shared" si="11"/>
        <v>0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</row>
    <row r="203" spans="1:33" x14ac:dyDescent="0.25">
      <c r="A203" s="85">
        <v>21</v>
      </c>
      <c r="B203" s="86" t="s">
        <v>206</v>
      </c>
      <c r="C203" s="87">
        <v>29</v>
      </c>
      <c r="D203" s="85">
        <v>28</v>
      </c>
      <c r="E203" s="85">
        <v>29</v>
      </c>
      <c r="F203" s="85">
        <v>22</v>
      </c>
      <c r="G203" s="85">
        <v>25</v>
      </c>
      <c r="H203" s="85">
        <v>26</v>
      </c>
      <c r="I203" s="85">
        <v>27</v>
      </c>
      <c r="J203" s="85">
        <v>18</v>
      </c>
      <c r="K203" s="85">
        <v>29</v>
      </c>
      <c r="L203" s="85">
        <v>26</v>
      </c>
      <c r="M203" s="85">
        <v>28</v>
      </c>
      <c r="N203" s="85">
        <v>26</v>
      </c>
      <c r="O203" s="85" t="s">
        <v>277</v>
      </c>
      <c r="P203" s="86"/>
      <c r="Q203" s="86">
        <f t="shared" si="9"/>
        <v>313</v>
      </c>
      <c r="R203" s="86">
        <f t="shared" si="10"/>
        <v>86.944444444444443</v>
      </c>
      <c r="S203" s="86">
        <f t="shared" si="11"/>
        <v>8.6944444444444446</v>
      </c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</row>
    <row r="204" spans="1:33" x14ac:dyDescent="0.25">
      <c r="A204" s="85">
        <v>22</v>
      </c>
      <c r="B204" s="86" t="s">
        <v>207</v>
      </c>
      <c r="C204" s="87">
        <v>27</v>
      </c>
      <c r="D204" s="85">
        <v>25</v>
      </c>
      <c r="E204" s="85">
        <v>24</v>
      </c>
      <c r="F204" s="85">
        <v>25</v>
      </c>
      <c r="G204" s="85">
        <v>24</v>
      </c>
      <c r="H204" s="85">
        <v>19</v>
      </c>
      <c r="I204" s="85">
        <v>22</v>
      </c>
      <c r="J204" s="85">
        <v>16</v>
      </c>
      <c r="K204" s="85">
        <v>25</v>
      </c>
      <c r="L204" s="85">
        <v>25</v>
      </c>
      <c r="M204" s="85">
        <v>28</v>
      </c>
      <c r="N204" s="85">
        <v>24</v>
      </c>
      <c r="O204" s="85" t="s">
        <v>277</v>
      </c>
      <c r="P204" s="86"/>
      <c r="Q204" s="86">
        <f t="shared" si="9"/>
        <v>284</v>
      </c>
      <c r="R204" s="86">
        <f t="shared" si="10"/>
        <v>78.888888888888886</v>
      </c>
      <c r="S204" s="86">
        <f t="shared" si="11"/>
        <v>7.8888888888888893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</row>
    <row r="205" spans="1:33" x14ac:dyDescent="0.25">
      <c r="A205" s="85">
        <v>23</v>
      </c>
      <c r="B205" s="86" t="s">
        <v>208</v>
      </c>
      <c r="C205" s="87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 t="s">
        <v>277</v>
      </c>
      <c r="P205" s="86"/>
      <c r="Q205" s="86">
        <f t="shared" si="9"/>
        <v>0</v>
      </c>
      <c r="R205" s="86">
        <f t="shared" si="10"/>
        <v>0</v>
      </c>
      <c r="S205" s="86">
        <f t="shared" si="11"/>
        <v>0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</row>
    <row r="206" spans="1:33" x14ac:dyDescent="0.25">
      <c r="A206" s="85">
        <v>24</v>
      </c>
      <c r="B206" s="86" t="s">
        <v>209</v>
      </c>
      <c r="C206" s="87">
        <v>15</v>
      </c>
      <c r="D206" s="85">
        <v>21</v>
      </c>
      <c r="E206" s="85">
        <v>15</v>
      </c>
      <c r="F206" s="85">
        <v>17</v>
      </c>
      <c r="G206" s="85">
        <v>14</v>
      </c>
      <c r="H206" s="85">
        <v>12</v>
      </c>
      <c r="I206" s="85">
        <v>19</v>
      </c>
      <c r="J206" s="85">
        <v>15</v>
      </c>
      <c r="K206" s="85">
        <v>21</v>
      </c>
      <c r="L206" s="85">
        <v>21</v>
      </c>
      <c r="M206" s="85">
        <v>25</v>
      </c>
      <c r="N206" s="85">
        <v>18</v>
      </c>
      <c r="O206" s="85" t="s">
        <v>277</v>
      </c>
      <c r="P206" s="86"/>
      <c r="Q206" s="86">
        <f t="shared" si="9"/>
        <v>213</v>
      </c>
      <c r="R206" s="86">
        <f t="shared" si="10"/>
        <v>59.166666666666664</v>
      </c>
      <c r="S206" s="86">
        <f t="shared" si="11"/>
        <v>5.916666666666667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</row>
    <row r="207" spans="1:33" x14ac:dyDescent="0.25">
      <c r="A207" s="85">
        <v>25</v>
      </c>
      <c r="B207" s="86" t="s">
        <v>210</v>
      </c>
      <c r="C207" s="87">
        <v>21</v>
      </c>
      <c r="D207" s="85">
        <v>23</v>
      </c>
      <c r="E207" s="85">
        <v>10</v>
      </c>
      <c r="F207" s="85">
        <v>23</v>
      </c>
      <c r="G207" s="85">
        <v>20</v>
      </c>
      <c r="H207" s="85">
        <v>17</v>
      </c>
      <c r="I207" s="85">
        <v>18</v>
      </c>
      <c r="J207" s="85">
        <v>12</v>
      </c>
      <c r="K207" s="85">
        <v>28</v>
      </c>
      <c r="L207" s="85">
        <v>24</v>
      </c>
      <c r="M207" s="85">
        <v>27</v>
      </c>
      <c r="N207" s="85">
        <v>23</v>
      </c>
      <c r="O207" s="85" t="s">
        <v>277</v>
      </c>
      <c r="P207" s="86"/>
      <c r="Q207" s="86">
        <f t="shared" si="9"/>
        <v>246</v>
      </c>
      <c r="R207" s="86">
        <f t="shared" si="10"/>
        <v>68.333333333333329</v>
      </c>
      <c r="S207" s="86">
        <f t="shared" si="11"/>
        <v>6.833333333333333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</row>
    <row r="208" spans="1:33" x14ac:dyDescent="0.25">
      <c r="A208" s="85">
        <v>26</v>
      </c>
      <c r="B208" s="86" t="s">
        <v>211</v>
      </c>
      <c r="C208" s="87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 t="s">
        <v>277</v>
      </c>
      <c r="P208" s="86"/>
      <c r="Q208" s="86">
        <f t="shared" si="9"/>
        <v>0</v>
      </c>
      <c r="R208" s="86">
        <f t="shared" si="10"/>
        <v>0</v>
      </c>
      <c r="S208" s="86">
        <f t="shared" si="11"/>
        <v>0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</row>
    <row r="209" spans="1:33" x14ac:dyDescent="0.25">
      <c r="A209" s="85">
        <v>27</v>
      </c>
      <c r="B209" s="86" t="s">
        <v>212</v>
      </c>
      <c r="C209" s="87">
        <v>10</v>
      </c>
      <c r="D209" s="85">
        <v>21</v>
      </c>
      <c r="E209" s="85">
        <v>13</v>
      </c>
      <c r="F209" s="85">
        <v>18</v>
      </c>
      <c r="G209" s="85">
        <v>14</v>
      </c>
      <c r="H209" s="85">
        <v>16</v>
      </c>
      <c r="I209" s="85">
        <v>15</v>
      </c>
      <c r="J209" s="85">
        <v>11</v>
      </c>
      <c r="K209" s="85">
        <v>19</v>
      </c>
      <c r="L209" s="85">
        <v>19</v>
      </c>
      <c r="M209" s="85">
        <v>23</v>
      </c>
      <c r="N209" s="85">
        <v>19</v>
      </c>
      <c r="O209" s="85" t="s">
        <v>277</v>
      </c>
      <c r="P209" s="86"/>
      <c r="Q209" s="86">
        <f t="shared" si="9"/>
        <v>198</v>
      </c>
      <c r="R209" s="86">
        <f t="shared" si="10"/>
        <v>55.000000000000007</v>
      </c>
      <c r="S209" s="86">
        <f t="shared" si="11"/>
        <v>5.5000000000000009</v>
      </c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</row>
    <row r="210" spans="1:33" x14ac:dyDescent="0.25">
      <c r="A210" s="85">
        <v>28</v>
      </c>
      <c r="B210" s="86" t="s">
        <v>213</v>
      </c>
      <c r="C210" s="87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 t="s">
        <v>277</v>
      </c>
      <c r="P210" s="86"/>
      <c r="Q210" s="86">
        <f t="shared" si="9"/>
        <v>0</v>
      </c>
      <c r="R210" s="86">
        <f t="shared" si="10"/>
        <v>0</v>
      </c>
      <c r="S210" s="86">
        <f t="shared" si="11"/>
        <v>0</v>
      </c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</row>
    <row r="211" spans="1:33" x14ac:dyDescent="0.25">
      <c r="A211" s="85">
        <v>29</v>
      </c>
      <c r="B211" s="86" t="s">
        <v>214</v>
      </c>
      <c r="C211" s="87"/>
      <c r="D211" s="85"/>
      <c r="E211" s="85">
        <v>12</v>
      </c>
      <c r="F211" s="85">
        <v>16</v>
      </c>
      <c r="G211" s="85">
        <v>14</v>
      </c>
      <c r="H211" s="85">
        <v>11</v>
      </c>
      <c r="I211" s="85">
        <v>14</v>
      </c>
      <c r="J211" s="85">
        <v>13</v>
      </c>
      <c r="K211" s="85">
        <v>17</v>
      </c>
      <c r="L211" s="85">
        <v>19</v>
      </c>
      <c r="M211" s="85">
        <v>22</v>
      </c>
      <c r="N211" s="85">
        <v>22</v>
      </c>
      <c r="O211" s="85" t="s">
        <v>277</v>
      </c>
      <c r="P211" s="86"/>
      <c r="Q211" s="86">
        <f t="shared" si="9"/>
        <v>160</v>
      </c>
      <c r="R211" s="86">
        <f t="shared" si="10"/>
        <v>44.444444444444443</v>
      </c>
      <c r="S211" s="86">
        <f t="shared" si="11"/>
        <v>4.4444444444444446</v>
      </c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</row>
    <row r="212" spans="1:33" x14ac:dyDescent="0.25">
      <c r="A212" s="85">
        <v>30</v>
      </c>
      <c r="B212" s="86" t="s">
        <v>215</v>
      </c>
      <c r="C212" s="87">
        <v>29</v>
      </c>
      <c r="D212" s="85"/>
      <c r="E212" s="85">
        <v>6</v>
      </c>
      <c r="F212" s="85">
        <v>18</v>
      </c>
      <c r="G212" s="85">
        <v>29</v>
      </c>
      <c r="H212" s="85"/>
      <c r="I212" s="85">
        <v>22</v>
      </c>
      <c r="J212" s="85"/>
      <c r="K212" s="85"/>
      <c r="L212" s="85"/>
      <c r="M212" s="85">
        <v>27</v>
      </c>
      <c r="N212" s="85">
        <v>22</v>
      </c>
      <c r="O212" s="85" t="s">
        <v>277</v>
      </c>
      <c r="P212" s="86"/>
      <c r="Q212" s="86">
        <f t="shared" si="9"/>
        <v>153</v>
      </c>
      <c r="R212" s="86">
        <f t="shared" si="10"/>
        <v>42.5</v>
      </c>
      <c r="S212" s="86">
        <f t="shared" si="11"/>
        <v>4.25</v>
      </c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</row>
    <row r="213" spans="1:33" x14ac:dyDescent="0.25">
      <c r="A213" s="85">
        <v>31</v>
      </c>
      <c r="B213" s="86" t="s">
        <v>216</v>
      </c>
      <c r="C213" s="87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 t="s">
        <v>277</v>
      </c>
      <c r="P213" s="86"/>
      <c r="Q213" s="86">
        <f t="shared" si="9"/>
        <v>0</v>
      </c>
      <c r="R213" s="86">
        <f t="shared" si="10"/>
        <v>0</v>
      </c>
      <c r="S213" s="86">
        <f t="shared" si="11"/>
        <v>0</v>
      </c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</row>
    <row r="214" spans="1:33" x14ac:dyDescent="0.25">
      <c r="A214" s="85">
        <v>32</v>
      </c>
      <c r="B214" s="86" t="s">
        <v>217</v>
      </c>
      <c r="C214" s="87">
        <v>11</v>
      </c>
      <c r="D214" s="85">
        <v>15</v>
      </c>
      <c r="E214" s="85">
        <v>11</v>
      </c>
      <c r="F214" s="85">
        <v>8</v>
      </c>
      <c r="G214" s="85">
        <v>7</v>
      </c>
      <c r="H214" s="85">
        <v>14</v>
      </c>
      <c r="I214" s="85">
        <v>14</v>
      </c>
      <c r="J214" s="85">
        <v>10</v>
      </c>
      <c r="K214" s="85">
        <v>11</v>
      </c>
      <c r="L214" s="85">
        <v>12</v>
      </c>
      <c r="M214" s="85">
        <v>20</v>
      </c>
      <c r="N214" s="85">
        <v>14</v>
      </c>
      <c r="O214" s="85" t="s">
        <v>277</v>
      </c>
      <c r="P214" s="86"/>
      <c r="Q214" s="86">
        <f t="shared" si="9"/>
        <v>147</v>
      </c>
      <c r="R214" s="86">
        <f t="shared" si="10"/>
        <v>40.833333333333336</v>
      </c>
      <c r="S214" s="86">
        <f t="shared" si="11"/>
        <v>4.0833333333333339</v>
      </c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</row>
    <row r="215" spans="1:33" x14ac:dyDescent="0.25">
      <c r="A215" s="85">
        <v>33</v>
      </c>
      <c r="B215" s="86" t="s">
        <v>218</v>
      </c>
      <c r="C215" s="87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 t="s">
        <v>277</v>
      </c>
      <c r="P215" s="86"/>
      <c r="Q215" s="86">
        <f t="shared" si="9"/>
        <v>0</v>
      </c>
      <c r="R215" s="86">
        <f t="shared" si="10"/>
        <v>0</v>
      </c>
      <c r="S215" s="86">
        <f t="shared" si="11"/>
        <v>0</v>
      </c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</row>
    <row r="216" spans="1:33" x14ac:dyDescent="0.25">
      <c r="A216" s="85">
        <v>34</v>
      </c>
      <c r="B216" s="86" t="s">
        <v>219</v>
      </c>
      <c r="C216" s="87">
        <v>25</v>
      </c>
      <c r="D216" s="85">
        <v>26</v>
      </c>
      <c r="E216" s="85">
        <v>21</v>
      </c>
      <c r="F216" s="85">
        <v>18</v>
      </c>
      <c r="G216" s="85">
        <v>23</v>
      </c>
      <c r="H216" s="85">
        <v>20</v>
      </c>
      <c r="I216" s="85">
        <v>20</v>
      </c>
      <c r="J216" s="85">
        <v>24</v>
      </c>
      <c r="K216" s="85">
        <v>24</v>
      </c>
      <c r="L216" s="85">
        <v>11</v>
      </c>
      <c r="M216" s="85">
        <v>29</v>
      </c>
      <c r="N216" s="85">
        <v>25</v>
      </c>
      <c r="O216" s="85" t="s">
        <v>277</v>
      </c>
      <c r="P216" s="86"/>
      <c r="Q216" s="86">
        <f t="shared" si="9"/>
        <v>266</v>
      </c>
      <c r="R216" s="86">
        <f t="shared" si="10"/>
        <v>73.888888888888886</v>
      </c>
      <c r="S216" s="86">
        <f t="shared" si="11"/>
        <v>7.3888888888888893</v>
      </c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</row>
    <row r="217" spans="1:33" x14ac:dyDescent="0.25">
      <c r="A217" s="85">
        <v>35</v>
      </c>
      <c r="B217" s="86" t="s">
        <v>220</v>
      </c>
      <c r="C217" s="87"/>
      <c r="D217" s="85"/>
      <c r="E217" s="85"/>
      <c r="F217" s="85">
        <v>18</v>
      </c>
      <c r="G217" s="85">
        <v>12</v>
      </c>
      <c r="H217" s="85">
        <v>21</v>
      </c>
      <c r="I217" s="85">
        <v>14</v>
      </c>
      <c r="J217" s="85">
        <v>25</v>
      </c>
      <c r="K217" s="85">
        <v>30</v>
      </c>
      <c r="L217" s="85">
        <v>27</v>
      </c>
      <c r="M217" s="85">
        <v>30</v>
      </c>
      <c r="N217" s="85">
        <v>18</v>
      </c>
      <c r="O217" s="85" t="s">
        <v>277</v>
      </c>
      <c r="P217" s="86"/>
      <c r="Q217" s="86">
        <f t="shared" si="9"/>
        <v>195</v>
      </c>
      <c r="R217" s="86">
        <f t="shared" si="10"/>
        <v>54.166666666666664</v>
      </c>
      <c r="S217" s="86">
        <f t="shared" si="11"/>
        <v>5.416666666666667</v>
      </c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</row>
    <row r="218" spans="1:33" x14ac:dyDescent="0.25">
      <c r="A218" s="85">
        <v>36</v>
      </c>
      <c r="B218" s="86" t="s">
        <v>221</v>
      </c>
      <c r="C218" s="87">
        <v>29</v>
      </c>
      <c r="D218" s="85">
        <v>28</v>
      </c>
      <c r="E218" s="85">
        <v>27</v>
      </c>
      <c r="F218" s="85">
        <v>11</v>
      </c>
      <c r="G218" s="85">
        <v>30</v>
      </c>
      <c r="H218" s="85">
        <v>28</v>
      </c>
      <c r="I218" s="85">
        <v>28</v>
      </c>
      <c r="J218" s="85">
        <v>25</v>
      </c>
      <c r="K218" s="85">
        <v>30</v>
      </c>
      <c r="L218" s="85">
        <v>29</v>
      </c>
      <c r="M218" s="85">
        <v>29</v>
      </c>
      <c r="N218" s="85">
        <v>26</v>
      </c>
      <c r="O218" s="85" t="s">
        <v>277</v>
      </c>
      <c r="P218" s="86"/>
      <c r="Q218" s="86">
        <f t="shared" si="9"/>
        <v>320</v>
      </c>
      <c r="R218" s="86">
        <f t="shared" si="10"/>
        <v>88.888888888888886</v>
      </c>
      <c r="S218" s="86">
        <f t="shared" si="11"/>
        <v>8.8888888888888893</v>
      </c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</row>
    <row r="219" spans="1:33" x14ac:dyDescent="0.25">
      <c r="A219" s="85">
        <v>37</v>
      </c>
      <c r="B219" s="86" t="s">
        <v>222</v>
      </c>
      <c r="C219" s="87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 t="s">
        <v>277</v>
      </c>
      <c r="P219" s="86"/>
      <c r="Q219" s="86">
        <f t="shared" si="9"/>
        <v>0</v>
      </c>
      <c r="R219" s="86">
        <f t="shared" si="10"/>
        <v>0</v>
      </c>
      <c r="S219" s="86">
        <f t="shared" si="11"/>
        <v>0</v>
      </c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</row>
    <row r="220" spans="1:33" x14ac:dyDescent="0.25">
      <c r="A220" s="85">
        <v>38</v>
      </c>
      <c r="B220" s="86" t="s">
        <v>223</v>
      </c>
      <c r="C220" s="87">
        <v>9</v>
      </c>
      <c r="D220" s="85">
        <v>15</v>
      </c>
      <c r="E220" s="85">
        <v>8</v>
      </c>
      <c r="F220" s="85">
        <v>16</v>
      </c>
      <c r="G220" s="85">
        <v>11</v>
      </c>
      <c r="H220" s="85">
        <v>14</v>
      </c>
      <c r="I220" s="85">
        <v>18</v>
      </c>
      <c r="J220" s="85">
        <v>11</v>
      </c>
      <c r="K220" s="85">
        <v>19</v>
      </c>
      <c r="L220" s="85">
        <v>17</v>
      </c>
      <c r="M220" s="85">
        <v>27</v>
      </c>
      <c r="N220" s="85">
        <v>19</v>
      </c>
      <c r="O220" s="85" t="s">
        <v>277</v>
      </c>
      <c r="P220" s="86"/>
      <c r="Q220" s="86">
        <f t="shared" si="9"/>
        <v>184</v>
      </c>
      <c r="R220" s="86">
        <f t="shared" si="10"/>
        <v>51.111111111111107</v>
      </c>
      <c r="S220" s="86">
        <f t="shared" si="11"/>
        <v>5.1111111111111107</v>
      </c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</row>
    <row r="221" spans="1:33" x14ac:dyDescent="0.25">
      <c r="A221" s="85">
        <v>39</v>
      </c>
      <c r="B221" s="86" t="s">
        <v>224</v>
      </c>
      <c r="C221" s="87">
        <v>17</v>
      </c>
      <c r="D221" s="85">
        <v>21</v>
      </c>
      <c r="E221" s="85">
        <v>10</v>
      </c>
      <c r="F221" s="85">
        <v>20</v>
      </c>
      <c r="G221" s="85">
        <v>22</v>
      </c>
      <c r="H221" s="85">
        <v>18</v>
      </c>
      <c r="I221" s="85">
        <v>12</v>
      </c>
      <c r="J221" s="85">
        <v>8</v>
      </c>
      <c r="K221" s="85">
        <v>17</v>
      </c>
      <c r="L221" s="85">
        <v>18</v>
      </c>
      <c r="M221" s="85">
        <v>24</v>
      </c>
      <c r="N221" s="85">
        <v>15</v>
      </c>
      <c r="O221" s="85" t="s">
        <v>277</v>
      </c>
      <c r="P221" s="86"/>
      <c r="Q221" s="86">
        <f t="shared" si="9"/>
        <v>202</v>
      </c>
      <c r="R221" s="86">
        <f t="shared" si="10"/>
        <v>56.111111111111114</v>
      </c>
      <c r="S221" s="86">
        <f t="shared" si="11"/>
        <v>5.6111111111111116</v>
      </c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</row>
    <row r="222" spans="1:33" x14ac:dyDescent="0.25">
      <c r="A222" s="85">
        <v>40</v>
      </c>
      <c r="B222" s="86" t="s">
        <v>225</v>
      </c>
      <c r="C222" s="87">
        <v>29</v>
      </c>
      <c r="D222" s="85">
        <v>28</v>
      </c>
      <c r="E222" s="85">
        <v>27</v>
      </c>
      <c r="F222" s="85">
        <v>30</v>
      </c>
      <c r="G222" s="85">
        <v>30</v>
      </c>
      <c r="H222" s="85">
        <v>27</v>
      </c>
      <c r="I222" s="85">
        <v>28</v>
      </c>
      <c r="J222" s="85">
        <v>26</v>
      </c>
      <c r="K222" s="85">
        <v>30</v>
      </c>
      <c r="L222" s="85">
        <v>29</v>
      </c>
      <c r="M222" s="85">
        <v>30</v>
      </c>
      <c r="N222" s="85">
        <v>27</v>
      </c>
      <c r="O222" s="85" t="s">
        <v>277</v>
      </c>
      <c r="P222" s="86"/>
      <c r="Q222" s="86">
        <f t="shared" si="9"/>
        <v>341</v>
      </c>
      <c r="R222" s="86">
        <f t="shared" si="10"/>
        <v>94.722222222222214</v>
      </c>
      <c r="S222" s="86">
        <f t="shared" si="11"/>
        <v>9.4722222222222214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</row>
    <row r="223" spans="1:33" x14ac:dyDescent="0.25">
      <c r="A223" s="85">
        <v>41</v>
      </c>
      <c r="B223" s="86" t="s">
        <v>226</v>
      </c>
      <c r="C223" s="87">
        <v>25</v>
      </c>
      <c r="D223" s="85">
        <v>19</v>
      </c>
      <c r="E223" s="85">
        <v>24</v>
      </c>
      <c r="F223" s="85">
        <v>29</v>
      </c>
      <c r="G223" s="85">
        <v>26</v>
      </c>
      <c r="H223" s="85">
        <v>25</v>
      </c>
      <c r="I223" s="85">
        <v>21</v>
      </c>
      <c r="J223" s="85">
        <v>22</v>
      </c>
      <c r="K223" s="85">
        <v>27</v>
      </c>
      <c r="L223" s="85">
        <v>29</v>
      </c>
      <c r="M223" s="85">
        <v>28</v>
      </c>
      <c r="N223" s="85">
        <v>26</v>
      </c>
      <c r="O223" s="85" t="s">
        <v>277</v>
      </c>
      <c r="P223" s="86"/>
      <c r="Q223" s="86">
        <f t="shared" si="9"/>
        <v>301</v>
      </c>
      <c r="R223" s="86">
        <f t="shared" si="10"/>
        <v>83.611111111111114</v>
      </c>
      <c r="S223" s="86">
        <f t="shared" si="11"/>
        <v>8.3611111111111125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</row>
    <row r="224" spans="1:33" x14ac:dyDescent="0.25">
      <c r="A224" s="85">
        <v>42</v>
      </c>
      <c r="B224" s="86" t="s">
        <v>227</v>
      </c>
      <c r="C224" s="87">
        <v>8</v>
      </c>
      <c r="D224" s="85">
        <v>16</v>
      </c>
      <c r="E224" s="85">
        <v>17</v>
      </c>
      <c r="F224" s="85">
        <v>18</v>
      </c>
      <c r="G224" s="85">
        <v>13</v>
      </c>
      <c r="H224" s="85">
        <v>16</v>
      </c>
      <c r="I224" s="85">
        <v>21</v>
      </c>
      <c r="J224" s="85">
        <v>17</v>
      </c>
      <c r="K224" s="85">
        <v>20</v>
      </c>
      <c r="L224" s="85">
        <v>19</v>
      </c>
      <c r="M224" s="85">
        <v>23</v>
      </c>
      <c r="N224" s="85">
        <v>15</v>
      </c>
      <c r="O224" s="85" t="s">
        <v>277</v>
      </c>
      <c r="P224" s="86"/>
      <c r="Q224" s="86">
        <f t="shared" si="9"/>
        <v>203</v>
      </c>
      <c r="R224" s="86">
        <f t="shared" si="10"/>
        <v>56.388888888888886</v>
      </c>
      <c r="S224" s="86">
        <f t="shared" si="11"/>
        <v>5.6388888888888893</v>
      </c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</row>
    <row r="225" spans="1:33" x14ac:dyDescent="0.25">
      <c r="A225" s="85">
        <v>43</v>
      </c>
      <c r="B225" s="86" t="s">
        <v>228</v>
      </c>
      <c r="C225" s="87">
        <v>20</v>
      </c>
      <c r="D225" s="85">
        <v>17</v>
      </c>
      <c r="E225" s="85">
        <v>15</v>
      </c>
      <c r="F225" s="85">
        <v>19</v>
      </c>
      <c r="G225" s="85">
        <v>23</v>
      </c>
      <c r="H225" s="85">
        <v>17</v>
      </c>
      <c r="I225" s="85">
        <v>22</v>
      </c>
      <c r="J225" s="85">
        <v>20</v>
      </c>
      <c r="K225" s="85">
        <v>23</v>
      </c>
      <c r="L225" s="85">
        <v>22</v>
      </c>
      <c r="M225" s="85">
        <v>25</v>
      </c>
      <c r="N225" s="85">
        <v>23</v>
      </c>
      <c r="O225" s="85" t="s">
        <v>277</v>
      </c>
      <c r="P225" s="86"/>
      <c r="Q225" s="86">
        <f t="shared" si="9"/>
        <v>246</v>
      </c>
      <c r="R225" s="86">
        <f t="shared" si="10"/>
        <v>68.333333333333329</v>
      </c>
      <c r="S225" s="86">
        <f t="shared" si="11"/>
        <v>6.833333333333333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</row>
    <row r="226" spans="1:33" x14ac:dyDescent="0.25">
      <c r="A226" s="85">
        <v>44</v>
      </c>
      <c r="B226" s="86" t="s">
        <v>229</v>
      </c>
      <c r="C226" s="87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 t="s">
        <v>277</v>
      </c>
      <c r="P226" s="86"/>
      <c r="Q226" s="86">
        <f t="shared" si="9"/>
        <v>0</v>
      </c>
      <c r="R226" s="86">
        <f t="shared" si="10"/>
        <v>0</v>
      </c>
      <c r="S226" s="86">
        <f t="shared" si="11"/>
        <v>0</v>
      </c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</row>
    <row r="227" spans="1:33" x14ac:dyDescent="0.25">
      <c r="A227" s="85"/>
      <c r="B227" s="86" t="s">
        <v>316</v>
      </c>
      <c r="C227" s="87"/>
      <c r="D227" s="85">
        <v>25</v>
      </c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6"/>
      <c r="Q227" s="86">
        <f t="shared" si="9"/>
        <v>25</v>
      </c>
      <c r="R227" s="86">
        <f t="shared" si="10"/>
        <v>6.9444444444444446</v>
      </c>
      <c r="S227" s="86">
        <f t="shared" si="11"/>
        <v>0.69444444444444453</v>
      </c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</row>
    <row r="228" spans="1:33" x14ac:dyDescent="0.25">
      <c r="A228" s="85"/>
      <c r="B228" s="86" t="s">
        <v>317</v>
      </c>
      <c r="C228" s="87"/>
      <c r="D228" s="85"/>
      <c r="E228" s="85"/>
      <c r="F228" s="85"/>
      <c r="G228" s="85"/>
      <c r="H228" s="85"/>
      <c r="I228" s="85"/>
      <c r="J228" s="85"/>
      <c r="K228" s="85">
        <v>16</v>
      </c>
      <c r="L228" s="85">
        <v>12</v>
      </c>
      <c r="M228" s="85">
        <v>20</v>
      </c>
      <c r="N228" s="85">
        <v>16</v>
      </c>
      <c r="O228" s="85" t="s">
        <v>278</v>
      </c>
      <c r="P228" s="86"/>
      <c r="Q228" s="86">
        <f t="shared" si="9"/>
        <v>64</v>
      </c>
      <c r="R228" s="86">
        <f t="shared" si="10"/>
        <v>17.777777777777779</v>
      </c>
      <c r="S228" s="86">
        <f t="shared" si="11"/>
        <v>1.7777777777777779</v>
      </c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</row>
    <row r="229" spans="1:33" x14ac:dyDescent="0.25">
      <c r="A229" s="85"/>
      <c r="B229" s="86"/>
      <c r="C229" s="87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</row>
    <row r="230" spans="1:33" x14ac:dyDescent="0.25">
      <c r="A230" s="85"/>
      <c r="B230" s="86"/>
      <c r="C230" s="87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</row>
    <row r="231" spans="1:33" x14ac:dyDescent="0.25">
      <c r="A231" s="85"/>
      <c r="B231" s="86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</row>
    <row r="232" spans="1:33" x14ac:dyDescent="0.25">
      <c r="A232" s="85"/>
      <c r="B232" s="86"/>
      <c r="C232" s="87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</row>
    <row r="233" spans="1:33" x14ac:dyDescent="0.25">
      <c r="A233" s="85"/>
      <c r="B233" s="86"/>
      <c r="C233" s="87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</row>
    <row r="234" spans="1:33" x14ac:dyDescent="0.25">
      <c r="A234" s="85"/>
      <c r="B234" s="86"/>
      <c r="C234" s="87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</row>
    <row r="235" spans="1:33" x14ac:dyDescent="0.25">
      <c r="A235" s="85"/>
      <c r="B235" s="86"/>
      <c r="C235" s="87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</row>
    <row r="236" spans="1:33" x14ac:dyDescent="0.25">
      <c r="A236" s="85"/>
      <c r="B236" s="86"/>
      <c r="C236" s="87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</row>
    <row r="237" spans="1:33" x14ac:dyDescent="0.25">
      <c r="A237" s="85"/>
      <c r="B237" s="86"/>
      <c r="C237" s="87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</row>
    <row r="238" spans="1:33" x14ac:dyDescent="0.25">
      <c r="A238" s="85"/>
      <c r="B238" s="86"/>
      <c r="C238" s="87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</row>
    <row r="239" spans="1:33" x14ac:dyDescent="0.25">
      <c r="A239" s="85"/>
      <c r="B239" s="86"/>
      <c r="C239" s="87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</row>
    <row r="240" spans="1:33" x14ac:dyDescent="0.25">
      <c r="A240" s="85"/>
      <c r="B240" s="86"/>
      <c r="C240" s="87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</row>
    <row r="241" spans="1:33" x14ac:dyDescent="0.25">
      <c r="A241" s="85"/>
      <c r="B241" s="86"/>
      <c r="C241" s="87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</row>
    <row r="242" spans="1:33" x14ac:dyDescent="0.25">
      <c r="A242" s="85"/>
      <c r="B242" s="86"/>
      <c r="C242" s="87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</row>
    <row r="243" spans="1:33" x14ac:dyDescent="0.25">
      <c r="A243" s="85"/>
      <c r="B243" s="86"/>
      <c r="C243" s="87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</row>
    <row r="244" spans="1:33" x14ac:dyDescent="0.25">
      <c r="A244" s="85"/>
      <c r="B244" s="86"/>
      <c r="C244" s="87">
        <f t="shared" ref="C244:N244" si="12">COUNT(C2:C240)</f>
        <v>94</v>
      </c>
      <c r="D244" s="85">
        <f t="shared" si="12"/>
        <v>108</v>
      </c>
      <c r="E244" s="85">
        <f t="shared" si="12"/>
        <v>96</v>
      </c>
      <c r="F244" s="85">
        <f t="shared" si="12"/>
        <v>90</v>
      </c>
      <c r="G244" s="85">
        <f t="shared" si="12"/>
        <v>87</v>
      </c>
      <c r="H244" s="85">
        <f t="shared" si="12"/>
        <v>97</v>
      </c>
      <c r="I244" s="85">
        <f t="shared" si="12"/>
        <v>115</v>
      </c>
      <c r="J244" s="85">
        <f t="shared" si="12"/>
        <v>101</v>
      </c>
      <c r="K244" s="85">
        <f t="shared" si="12"/>
        <v>86</v>
      </c>
      <c r="L244" s="85">
        <f t="shared" si="12"/>
        <v>100</v>
      </c>
      <c r="M244" s="85">
        <f t="shared" si="12"/>
        <v>95</v>
      </c>
      <c r="N244" s="85">
        <f t="shared" si="12"/>
        <v>104</v>
      </c>
      <c r="O244" s="85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</row>
    <row r="245" spans="1:33" x14ac:dyDescent="0.25">
      <c r="A245" s="85"/>
      <c r="B245" s="86"/>
      <c r="C245" s="87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</row>
    <row r="246" spans="1:33" x14ac:dyDescent="0.25">
      <c r="A246" s="85"/>
      <c r="B246" s="86"/>
      <c r="C246" s="87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</row>
    <row r="247" spans="1:33" x14ac:dyDescent="0.25">
      <c r="A247" s="85"/>
      <c r="B247" s="86"/>
      <c r="C247" s="87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</row>
    <row r="248" spans="1:33" x14ac:dyDescent="0.25">
      <c r="A248" s="85"/>
      <c r="B248" s="86"/>
      <c r="C248" s="87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</row>
    <row r="249" spans="1:33" x14ac:dyDescent="0.25">
      <c r="A249" s="85"/>
      <c r="B249" s="86"/>
      <c r="C249" s="87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</row>
    <row r="250" spans="1:33" x14ac:dyDescent="0.25">
      <c r="A250" s="85"/>
      <c r="B250" s="86"/>
      <c r="C250" s="87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</row>
    <row r="251" spans="1:33" x14ac:dyDescent="0.25">
      <c r="A251" s="85"/>
      <c r="B251" s="86"/>
      <c r="C251" s="87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</row>
    <row r="252" spans="1:33" x14ac:dyDescent="0.25">
      <c r="A252" s="85"/>
      <c r="B252" s="86"/>
      <c r="C252" s="87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</row>
    <row r="253" spans="1:33" x14ac:dyDescent="0.25">
      <c r="A253" s="85"/>
      <c r="B253" s="86"/>
      <c r="C253" s="87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</row>
    <row r="254" spans="1:33" x14ac:dyDescent="0.25">
      <c r="A254" s="85"/>
      <c r="B254" s="86"/>
      <c r="C254" s="87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</row>
    <row r="255" spans="1:33" x14ac:dyDescent="0.25">
      <c r="A255" s="85"/>
      <c r="B255" s="86"/>
      <c r="C255" s="87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</row>
    <row r="256" spans="1:33" x14ac:dyDescent="0.25">
      <c r="A256" s="85"/>
      <c r="B256" s="86"/>
      <c r="C256" s="87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</row>
    <row r="257" spans="1:33" x14ac:dyDescent="0.25">
      <c r="A257" s="85"/>
      <c r="B257" s="86"/>
      <c r="C257" s="87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</row>
    <row r="258" spans="1:33" x14ac:dyDescent="0.25">
      <c r="A258" s="85"/>
      <c r="B258" s="86"/>
      <c r="C258" s="87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</row>
    <row r="259" spans="1:33" x14ac:dyDescent="0.25">
      <c r="A259" s="85"/>
      <c r="B259" s="86"/>
      <c r="C259" s="87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</row>
    <row r="260" spans="1:33" x14ac:dyDescent="0.25">
      <c r="A260" s="85"/>
      <c r="B260" s="86"/>
      <c r="C260" s="87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</row>
    <row r="261" spans="1:33" x14ac:dyDescent="0.25">
      <c r="A261" s="85"/>
      <c r="B261" s="86"/>
      <c r="C261" s="87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</row>
    <row r="262" spans="1:33" x14ac:dyDescent="0.25">
      <c r="A262" s="85"/>
      <c r="B262" s="86"/>
      <c r="C262" s="87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</row>
    <row r="263" spans="1:33" x14ac:dyDescent="0.25">
      <c r="A263" s="85"/>
      <c r="B263" s="86"/>
      <c r="C263" s="87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</row>
    <row r="264" spans="1:33" x14ac:dyDescent="0.25">
      <c r="A264" s="85"/>
      <c r="B264" s="86"/>
      <c r="C264" s="87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</row>
    <row r="265" spans="1:33" x14ac:dyDescent="0.25">
      <c r="A265" s="85"/>
      <c r="B265" s="86"/>
      <c r="C265" s="87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</row>
    <row r="266" spans="1:33" x14ac:dyDescent="0.25">
      <c r="A266" s="85"/>
      <c r="B266" s="86"/>
      <c r="C266" s="87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</row>
    <row r="267" spans="1:33" x14ac:dyDescent="0.25">
      <c r="A267" s="85"/>
      <c r="B267" s="86"/>
      <c r="C267" s="87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</row>
    <row r="268" spans="1:33" x14ac:dyDescent="0.25">
      <c r="A268" s="85"/>
      <c r="B268" s="86"/>
      <c r="C268" s="87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</row>
    <row r="269" spans="1:33" x14ac:dyDescent="0.25">
      <c r="A269" s="85"/>
      <c r="B269" s="86"/>
      <c r="C269" s="87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</row>
    <row r="270" spans="1:33" x14ac:dyDescent="0.25">
      <c r="A270" s="85"/>
      <c r="B270" s="86"/>
      <c r="C270" s="87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</row>
    <row r="271" spans="1:33" x14ac:dyDescent="0.25">
      <c r="A271" s="85"/>
      <c r="B271" s="86"/>
      <c r="C271" s="87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</row>
    <row r="272" spans="1:33" x14ac:dyDescent="0.25">
      <c r="A272" s="85"/>
      <c r="B272" s="86"/>
      <c r="C272" s="87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</row>
    <row r="273" spans="1:33" x14ac:dyDescent="0.25">
      <c r="A273" s="85"/>
      <c r="B273" s="86"/>
      <c r="C273" s="87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</row>
    <row r="274" spans="1:33" x14ac:dyDescent="0.25">
      <c r="A274" s="85"/>
      <c r="B274" s="86"/>
      <c r="C274" s="87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</row>
    <row r="275" spans="1:33" x14ac:dyDescent="0.25">
      <c r="A275" s="85"/>
      <c r="B275" s="86"/>
      <c r="C275" s="87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</row>
    <row r="276" spans="1:33" x14ac:dyDescent="0.25">
      <c r="A276" s="85"/>
      <c r="B276" s="86"/>
      <c r="C276" s="87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</row>
    <row r="277" spans="1:33" x14ac:dyDescent="0.25">
      <c r="A277" s="85"/>
      <c r="B277" s="86"/>
      <c r="C277" s="87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</row>
    <row r="278" spans="1:33" x14ac:dyDescent="0.25">
      <c r="A278" s="85"/>
      <c r="B278" s="86"/>
      <c r="C278" s="87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</row>
    <row r="279" spans="1:33" x14ac:dyDescent="0.25">
      <c r="A279" s="85"/>
      <c r="B279" s="86"/>
      <c r="C279" s="87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</row>
    <row r="280" spans="1:33" x14ac:dyDescent="0.25">
      <c r="A280" s="85"/>
      <c r="B280" s="86"/>
      <c r="C280" s="87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</row>
    <row r="281" spans="1:33" x14ac:dyDescent="0.25">
      <c r="A281" s="85"/>
      <c r="B281" s="86"/>
      <c r="C281" s="87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</row>
    <row r="282" spans="1:33" x14ac:dyDescent="0.25">
      <c r="A282" s="85"/>
      <c r="B282" s="86"/>
      <c r="C282" s="87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</row>
    <row r="283" spans="1:33" x14ac:dyDescent="0.25">
      <c r="A283" s="85"/>
      <c r="B283" s="86"/>
      <c r="C283" s="87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</row>
    <row r="284" spans="1:33" x14ac:dyDescent="0.25">
      <c r="A284" s="85"/>
      <c r="B284" s="86"/>
      <c r="C284" s="87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</row>
    <row r="285" spans="1:33" x14ac:dyDescent="0.25">
      <c r="A285" s="85"/>
      <c r="B285" s="86"/>
      <c r="C285" s="87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</row>
    <row r="286" spans="1:33" x14ac:dyDescent="0.25">
      <c r="A286" s="85"/>
      <c r="B286" s="86"/>
      <c r="C286" s="87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</row>
    <row r="287" spans="1:33" x14ac:dyDescent="0.25">
      <c r="A287" s="85"/>
      <c r="B287" s="86"/>
      <c r="C287" s="87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</row>
    <row r="288" spans="1:33" x14ac:dyDescent="0.25">
      <c r="A288" s="85"/>
      <c r="B288" s="86"/>
      <c r="C288" s="87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</row>
    <row r="289" spans="1:33" x14ac:dyDescent="0.25">
      <c r="A289" s="85"/>
      <c r="B289" s="86"/>
      <c r="C289" s="87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</row>
    <row r="290" spans="1:33" x14ac:dyDescent="0.25">
      <c r="A290" s="85"/>
      <c r="B290" s="86"/>
      <c r="C290" s="87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</row>
    <row r="291" spans="1:33" x14ac:dyDescent="0.25">
      <c r="A291" s="85"/>
      <c r="B291" s="86"/>
      <c r="C291" s="87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</row>
    <row r="292" spans="1:33" x14ac:dyDescent="0.25">
      <c r="A292" s="85"/>
      <c r="B292" s="86"/>
      <c r="C292" s="87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</row>
    <row r="293" spans="1:33" x14ac:dyDescent="0.25">
      <c r="A293" s="85"/>
      <c r="B293" s="86"/>
      <c r="C293" s="87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</row>
    <row r="294" spans="1:33" x14ac:dyDescent="0.25">
      <c r="A294" s="85"/>
      <c r="B294" s="86"/>
      <c r="C294" s="87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</row>
    <row r="295" spans="1:33" x14ac:dyDescent="0.25">
      <c r="A295" s="85"/>
      <c r="B295" s="86"/>
      <c r="C295" s="87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</row>
    <row r="296" spans="1:33" x14ac:dyDescent="0.25">
      <c r="A296" s="85"/>
      <c r="B296" s="86"/>
      <c r="C296" s="87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</row>
    <row r="297" spans="1:33" x14ac:dyDescent="0.25">
      <c r="A297" s="85"/>
      <c r="B297" s="86"/>
      <c r="C297" s="87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</row>
    <row r="298" spans="1:33" x14ac:dyDescent="0.25">
      <c r="A298" s="85"/>
      <c r="B298" s="86"/>
      <c r="C298" s="87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</row>
    <row r="299" spans="1:33" x14ac:dyDescent="0.25">
      <c r="A299" s="85"/>
      <c r="B299" s="86"/>
      <c r="C299" s="87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</row>
    <row r="300" spans="1:33" x14ac:dyDescent="0.25">
      <c r="A300" s="85"/>
      <c r="B300" s="86"/>
      <c r="C300" s="87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</row>
    <row r="301" spans="1:33" x14ac:dyDescent="0.25">
      <c r="A301" s="85"/>
      <c r="B301" s="86"/>
      <c r="C301" s="87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</row>
    <row r="302" spans="1:33" x14ac:dyDescent="0.25">
      <c r="A302" s="85"/>
      <c r="B302" s="86"/>
      <c r="C302" s="87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</row>
    <row r="303" spans="1:33" x14ac:dyDescent="0.25">
      <c r="A303" s="85"/>
      <c r="B303" s="86"/>
      <c r="C303" s="87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</row>
    <row r="304" spans="1:33" x14ac:dyDescent="0.25">
      <c r="A304" s="85"/>
      <c r="B304" s="86"/>
      <c r="C304" s="87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</row>
    <row r="305" spans="1:33" x14ac:dyDescent="0.25">
      <c r="A305" s="85"/>
      <c r="B305" s="86"/>
      <c r="C305" s="87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</row>
    <row r="306" spans="1:33" x14ac:dyDescent="0.25">
      <c r="A306" s="85"/>
      <c r="B306" s="86"/>
      <c r="C306" s="87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</row>
    <row r="307" spans="1:33" x14ac:dyDescent="0.25">
      <c r="A307" s="85"/>
      <c r="B307" s="86"/>
      <c r="C307" s="87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</row>
    <row r="308" spans="1:33" x14ac:dyDescent="0.25">
      <c r="A308" s="85"/>
      <c r="B308" s="86"/>
      <c r="C308" s="87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</row>
    <row r="309" spans="1:33" x14ac:dyDescent="0.25">
      <c r="A309" s="85"/>
      <c r="B309" s="86"/>
      <c r="C309" s="87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</row>
    <row r="310" spans="1:33" x14ac:dyDescent="0.25">
      <c r="A310" s="85"/>
      <c r="B310" s="86"/>
      <c r="C310" s="87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</row>
    <row r="311" spans="1:33" x14ac:dyDescent="0.25">
      <c r="A311" s="85"/>
      <c r="B311" s="86"/>
      <c r="C311" s="87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</row>
    <row r="312" spans="1:33" x14ac:dyDescent="0.25">
      <c r="A312" s="85"/>
      <c r="B312" s="86"/>
      <c r="C312" s="87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</row>
    <row r="313" spans="1:33" x14ac:dyDescent="0.25">
      <c r="A313" s="85"/>
      <c r="B313" s="86"/>
      <c r="C313" s="87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</row>
    <row r="314" spans="1:33" x14ac:dyDescent="0.25">
      <c r="A314" s="85"/>
      <c r="B314" s="86"/>
      <c r="C314" s="87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</row>
    <row r="315" spans="1:33" x14ac:dyDescent="0.25">
      <c r="A315" s="85"/>
      <c r="B315" s="86"/>
      <c r="C315" s="87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</row>
    <row r="316" spans="1:33" x14ac:dyDescent="0.25">
      <c r="A316" s="85"/>
      <c r="B316" s="86"/>
      <c r="C316" s="87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</row>
    <row r="317" spans="1:33" x14ac:dyDescent="0.25">
      <c r="A317" s="85"/>
      <c r="B317" s="86"/>
      <c r="C317" s="87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</row>
    <row r="318" spans="1:33" x14ac:dyDescent="0.25">
      <c r="A318" s="85"/>
      <c r="B318" s="86"/>
      <c r="C318" s="87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</row>
    <row r="319" spans="1:33" x14ac:dyDescent="0.25">
      <c r="A319" s="85"/>
      <c r="B319" s="86"/>
      <c r="C319" s="87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</row>
    <row r="320" spans="1:33" x14ac:dyDescent="0.25">
      <c r="A320" s="85"/>
      <c r="B320" s="86"/>
      <c r="C320" s="87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</row>
    <row r="321" spans="1:33" x14ac:dyDescent="0.25">
      <c r="A321" s="85"/>
      <c r="B321" s="86"/>
      <c r="C321" s="87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</row>
    <row r="322" spans="1:33" x14ac:dyDescent="0.25">
      <c r="A322" s="85"/>
      <c r="B322" s="86"/>
      <c r="C322" s="87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</row>
    <row r="323" spans="1:33" x14ac:dyDescent="0.25">
      <c r="A323" s="85"/>
      <c r="B323" s="86"/>
      <c r="C323" s="87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</row>
    <row r="324" spans="1:33" x14ac:dyDescent="0.25">
      <c r="A324" s="85"/>
      <c r="B324" s="86"/>
      <c r="C324" s="87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</row>
    <row r="325" spans="1:33" x14ac:dyDescent="0.25">
      <c r="A325" s="85"/>
      <c r="B325" s="86"/>
      <c r="C325" s="87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</row>
    <row r="326" spans="1:33" x14ac:dyDescent="0.25">
      <c r="A326" s="85"/>
      <c r="B326" s="86"/>
      <c r="C326" s="87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</row>
    <row r="327" spans="1:33" x14ac:dyDescent="0.25">
      <c r="A327" s="85"/>
      <c r="B327" s="86"/>
      <c r="C327" s="87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</row>
    <row r="328" spans="1:33" x14ac:dyDescent="0.25">
      <c r="A328" s="85"/>
      <c r="B328" s="86"/>
      <c r="C328" s="87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</row>
    <row r="329" spans="1:33" x14ac:dyDescent="0.25">
      <c r="A329" s="85"/>
      <c r="B329" s="86"/>
      <c r="C329" s="87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</row>
    <row r="330" spans="1:33" x14ac:dyDescent="0.25">
      <c r="A330" s="85"/>
      <c r="B330" s="86"/>
      <c r="C330" s="87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</row>
    <row r="331" spans="1:33" x14ac:dyDescent="0.25">
      <c r="A331" s="85"/>
      <c r="B331" s="86"/>
      <c r="C331" s="87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</row>
    <row r="332" spans="1:33" x14ac:dyDescent="0.25">
      <c r="A332" s="85"/>
      <c r="B332" s="86"/>
      <c r="C332" s="87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</row>
    <row r="333" spans="1:33" x14ac:dyDescent="0.25">
      <c r="A333" s="85"/>
      <c r="B333" s="86"/>
      <c r="C333" s="87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</row>
    <row r="334" spans="1:33" x14ac:dyDescent="0.25">
      <c r="A334" s="85"/>
      <c r="B334" s="86"/>
      <c r="C334" s="87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</row>
    <row r="335" spans="1:33" x14ac:dyDescent="0.25">
      <c r="A335" s="85"/>
      <c r="B335" s="86"/>
      <c r="C335" s="87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</row>
    <row r="336" spans="1:33" x14ac:dyDescent="0.25">
      <c r="A336" s="85"/>
      <c r="B336" s="86"/>
      <c r="C336" s="87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</row>
    <row r="337" spans="1:33" x14ac:dyDescent="0.25">
      <c r="A337" s="85"/>
      <c r="B337" s="86"/>
      <c r="C337" s="87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</row>
    <row r="338" spans="1:33" x14ac:dyDescent="0.25">
      <c r="A338" s="85"/>
      <c r="B338" s="86"/>
      <c r="C338" s="87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</row>
    <row r="339" spans="1:33" x14ac:dyDescent="0.25">
      <c r="A339" s="85"/>
      <c r="B339" s="86"/>
      <c r="C339" s="87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</row>
    <row r="340" spans="1:33" x14ac:dyDescent="0.25">
      <c r="A340" s="85"/>
      <c r="B340" s="86"/>
      <c r="C340" s="87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</row>
    <row r="341" spans="1:33" x14ac:dyDescent="0.25">
      <c r="A341" s="85"/>
      <c r="B341" s="86"/>
      <c r="C341" s="87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</row>
    <row r="342" spans="1:33" x14ac:dyDescent="0.25">
      <c r="A342" s="85"/>
      <c r="B342" s="86"/>
      <c r="C342" s="87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</row>
    <row r="343" spans="1:33" x14ac:dyDescent="0.25">
      <c r="A343" s="85"/>
      <c r="B343" s="86"/>
      <c r="C343" s="87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</row>
    <row r="344" spans="1:33" x14ac:dyDescent="0.25">
      <c r="A344" s="85"/>
      <c r="B344" s="86"/>
      <c r="C344" s="87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</row>
    <row r="345" spans="1:33" x14ac:dyDescent="0.25">
      <c r="A345" s="85"/>
      <c r="B345" s="86"/>
      <c r="C345" s="87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</row>
    <row r="346" spans="1:33" x14ac:dyDescent="0.25">
      <c r="A346" s="85"/>
      <c r="B346" s="86"/>
      <c r="C346" s="87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</row>
    <row r="347" spans="1:33" x14ac:dyDescent="0.25">
      <c r="A347" s="85"/>
      <c r="B347" s="86"/>
      <c r="C347" s="87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</row>
    <row r="348" spans="1:33" x14ac:dyDescent="0.25">
      <c r="A348" s="85"/>
      <c r="B348" s="86"/>
      <c r="C348" s="87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</row>
    <row r="349" spans="1:33" x14ac:dyDescent="0.25">
      <c r="A349" s="85"/>
      <c r="B349" s="86"/>
      <c r="C349" s="87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</row>
    <row r="350" spans="1:33" x14ac:dyDescent="0.25">
      <c r="A350" s="85"/>
      <c r="B350" s="86"/>
      <c r="C350" s="87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</row>
    <row r="351" spans="1:33" x14ac:dyDescent="0.25">
      <c r="A351" s="85"/>
      <c r="B351" s="86"/>
      <c r="C351" s="87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</row>
    <row r="352" spans="1:33" x14ac:dyDescent="0.25">
      <c r="A352" s="85"/>
      <c r="B352" s="86"/>
      <c r="C352" s="87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</row>
    <row r="353" spans="1:33" x14ac:dyDescent="0.25">
      <c r="A353" s="85"/>
      <c r="B353" s="86"/>
      <c r="C353" s="87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</row>
    <row r="354" spans="1:33" x14ac:dyDescent="0.25">
      <c r="A354" s="85"/>
      <c r="B354" s="86"/>
      <c r="C354" s="87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</row>
    <row r="355" spans="1:33" x14ac:dyDescent="0.25">
      <c r="A355" s="85"/>
      <c r="B355" s="86"/>
      <c r="C355" s="87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</row>
    <row r="356" spans="1:33" x14ac:dyDescent="0.25">
      <c r="A356" s="85"/>
      <c r="B356" s="86"/>
      <c r="C356" s="87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</row>
    <row r="357" spans="1:33" x14ac:dyDescent="0.25">
      <c r="A357" s="85"/>
      <c r="B357" s="86"/>
      <c r="C357" s="87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</row>
    <row r="358" spans="1:33" x14ac:dyDescent="0.25">
      <c r="A358" s="85"/>
      <c r="B358" s="86"/>
      <c r="C358" s="87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</row>
    <row r="359" spans="1:33" x14ac:dyDescent="0.25">
      <c r="A359" s="85"/>
      <c r="B359" s="86"/>
      <c r="C359" s="87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</row>
    <row r="360" spans="1:33" x14ac:dyDescent="0.25">
      <c r="A360" s="85"/>
      <c r="B360" s="86"/>
      <c r="C360" s="87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</row>
    <row r="361" spans="1:33" x14ac:dyDescent="0.25">
      <c r="A361" s="85"/>
      <c r="B361" s="86"/>
      <c r="C361" s="87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</row>
    <row r="362" spans="1:33" x14ac:dyDescent="0.25">
      <c r="A362" s="85"/>
      <c r="B362" s="86"/>
      <c r="C362" s="87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</row>
    <row r="363" spans="1:33" x14ac:dyDescent="0.25">
      <c r="A363" s="85"/>
      <c r="B363" s="86"/>
      <c r="C363" s="87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</row>
    <row r="364" spans="1:33" x14ac:dyDescent="0.25">
      <c r="A364" s="85"/>
      <c r="B364" s="86"/>
      <c r="C364" s="87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</row>
    <row r="365" spans="1:33" x14ac:dyDescent="0.25">
      <c r="A365" s="85"/>
      <c r="B365" s="86"/>
      <c r="C365" s="87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</row>
    <row r="366" spans="1:33" x14ac:dyDescent="0.25">
      <c r="A366" s="85"/>
      <c r="B366" s="86"/>
      <c r="C366" s="87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</row>
    <row r="367" spans="1:33" x14ac:dyDescent="0.25">
      <c r="A367" s="85"/>
      <c r="B367" s="86"/>
      <c r="C367" s="87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</row>
    <row r="368" spans="1:33" x14ac:dyDescent="0.25">
      <c r="A368" s="85"/>
      <c r="B368" s="86"/>
      <c r="C368" s="87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</row>
    <row r="369" spans="1:33" x14ac:dyDescent="0.25">
      <c r="A369" s="85"/>
      <c r="B369" s="86"/>
      <c r="C369" s="87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</row>
    <row r="370" spans="1:33" x14ac:dyDescent="0.25">
      <c r="A370" s="85"/>
      <c r="B370" s="86"/>
      <c r="C370" s="87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</row>
    <row r="371" spans="1:33" x14ac:dyDescent="0.25">
      <c r="A371" s="85"/>
      <c r="B371" s="86"/>
      <c r="C371" s="87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</row>
    <row r="372" spans="1:33" x14ac:dyDescent="0.25">
      <c r="A372" s="85"/>
      <c r="B372" s="86"/>
      <c r="C372" s="87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</row>
    <row r="373" spans="1:33" x14ac:dyDescent="0.25">
      <c r="A373" s="85"/>
      <c r="B373" s="86"/>
      <c r="C373" s="87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</row>
    <row r="374" spans="1:33" x14ac:dyDescent="0.25">
      <c r="A374" s="85"/>
      <c r="B374" s="86"/>
      <c r="C374" s="87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</row>
    <row r="375" spans="1:33" x14ac:dyDescent="0.25">
      <c r="A375" s="85"/>
      <c r="B375" s="86"/>
      <c r="C375" s="87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</row>
    <row r="376" spans="1:33" x14ac:dyDescent="0.25">
      <c r="A376" s="85"/>
      <c r="B376" s="86"/>
      <c r="C376" s="87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</row>
    <row r="377" spans="1:33" x14ac:dyDescent="0.25">
      <c r="A377" s="85"/>
      <c r="B377" s="86"/>
      <c r="C377" s="87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</row>
    <row r="378" spans="1:33" x14ac:dyDescent="0.25">
      <c r="A378" s="85"/>
      <c r="B378" s="86"/>
      <c r="C378" s="87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</row>
    <row r="379" spans="1:33" x14ac:dyDescent="0.25">
      <c r="A379" s="85"/>
      <c r="B379" s="86"/>
      <c r="C379" s="87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</row>
    <row r="380" spans="1:33" x14ac:dyDescent="0.25">
      <c r="A380" s="85"/>
      <c r="B380" s="86"/>
      <c r="C380" s="87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</row>
    <row r="381" spans="1:33" x14ac:dyDescent="0.25">
      <c r="A381" s="85"/>
      <c r="B381" s="86"/>
      <c r="C381" s="87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</row>
    <row r="382" spans="1:33" x14ac:dyDescent="0.25">
      <c r="A382" s="85"/>
      <c r="B382" s="86"/>
      <c r="C382" s="87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</row>
    <row r="383" spans="1:33" x14ac:dyDescent="0.25">
      <c r="A383" s="85"/>
      <c r="B383" s="86"/>
      <c r="C383" s="87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</row>
    <row r="384" spans="1:33" x14ac:dyDescent="0.25">
      <c r="A384" s="85"/>
      <c r="B384" s="86"/>
      <c r="C384" s="87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</row>
    <row r="385" spans="1:33" x14ac:dyDescent="0.25">
      <c r="A385" s="85"/>
      <c r="B385" s="86"/>
      <c r="C385" s="87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</row>
    <row r="386" spans="1:33" x14ac:dyDescent="0.25">
      <c r="A386" s="85"/>
      <c r="B386" s="86"/>
      <c r="C386" s="87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</row>
    <row r="387" spans="1:33" x14ac:dyDescent="0.25">
      <c r="A387" s="85"/>
      <c r="B387" s="86"/>
      <c r="C387" s="87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</row>
    <row r="388" spans="1:33" x14ac:dyDescent="0.25">
      <c r="A388" s="85"/>
      <c r="B388" s="86"/>
      <c r="C388" s="87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</row>
    <row r="389" spans="1:33" x14ac:dyDescent="0.25">
      <c r="A389" s="85"/>
      <c r="B389" s="86"/>
      <c r="C389" s="87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</row>
    <row r="390" spans="1:33" x14ac:dyDescent="0.25">
      <c r="A390" s="85"/>
      <c r="B390" s="86"/>
      <c r="C390" s="87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</row>
    <row r="391" spans="1:33" x14ac:dyDescent="0.25">
      <c r="A391" s="85"/>
      <c r="B391" s="86"/>
      <c r="C391" s="87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</row>
    <row r="392" spans="1:33" x14ac:dyDescent="0.25">
      <c r="A392" s="85"/>
      <c r="B392" s="86"/>
      <c r="C392" s="87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</row>
    <row r="393" spans="1:33" x14ac:dyDescent="0.25">
      <c r="A393" s="85"/>
      <c r="B393" s="86"/>
      <c r="C393" s="87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</row>
    <row r="394" spans="1:33" x14ac:dyDescent="0.25">
      <c r="A394" s="85"/>
      <c r="B394" s="86"/>
      <c r="C394" s="87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</row>
    <row r="395" spans="1:33" x14ac:dyDescent="0.25">
      <c r="A395" s="85"/>
      <c r="B395" s="86"/>
      <c r="C395" s="87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</row>
    <row r="396" spans="1:33" x14ac:dyDescent="0.25">
      <c r="A396" s="85"/>
      <c r="B396" s="86"/>
      <c r="C396" s="87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</row>
    <row r="397" spans="1:33" x14ac:dyDescent="0.25">
      <c r="A397" s="85"/>
      <c r="B397" s="86"/>
      <c r="C397" s="87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</row>
    <row r="398" spans="1:33" x14ac:dyDescent="0.25">
      <c r="A398" s="85"/>
      <c r="B398" s="86"/>
      <c r="C398" s="87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</row>
    <row r="399" spans="1:33" x14ac:dyDescent="0.25">
      <c r="A399" s="85"/>
      <c r="B399" s="86"/>
      <c r="C399" s="87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</row>
    <row r="400" spans="1:33" x14ac:dyDescent="0.25">
      <c r="A400" s="85"/>
      <c r="B400" s="86"/>
      <c r="C400" s="87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</row>
    <row r="401" spans="1:33" x14ac:dyDescent="0.25">
      <c r="A401" s="85"/>
      <c r="B401" s="86"/>
      <c r="C401" s="87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</row>
    <row r="402" spans="1:33" x14ac:dyDescent="0.25">
      <c r="A402" s="85"/>
      <c r="B402" s="86"/>
      <c r="C402" s="87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</row>
    <row r="403" spans="1:33" x14ac:dyDescent="0.25">
      <c r="A403" s="85"/>
      <c r="B403" s="86"/>
      <c r="C403" s="87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</row>
    <row r="404" spans="1:33" x14ac:dyDescent="0.25">
      <c r="A404" s="85"/>
      <c r="B404" s="86"/>
      <c r="C404" s="87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</row>
    <row r="405" spans="1:33" x14ac:dyDescent="0.25">
      <c r="A405" s="85"/>
      <c r="B405" s="86"/>
      <c r="C405" s="87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</row>
    <row r="406" spans="1:33" x14ac:dyDescent="0.25">
      <c r="A406" s="85"/>
      <c r="B406" s="86"/>
      <c r="C406" s="87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</row>
    <row r="407" spans="1:33" x14ac:dyDescent="0.25">
      <c r="A407" s="85"/>
      <c r="B407" s="86"/>
      <c r="C407" s="87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</row>
    <row r="408" spans="1:33" x14ac:dyDescent="0.25">
      <c r="A408" s="85"/>
      <c r="B408" s="86"/>
      <c r="C408" s="87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</row>
    <row r="409" spans="1:33" x14ac:dyDescent="0.25">
      <c r="A409" s="85"/>
      <c r="B409" s="86"/>
      <c r="C409" s="87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</row>
    <row r="410" spans="1:33" x14ac:dyDescent="0.25">
      <c r="A410" s="85"/>
      <c r="B410" s="86"/>
      <c r="C410" s="87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</row>
    <row r="411" spans="1:33" x14ac:dyDescent="0.25">
      <c r="A411" s="85"/>
      <c r="B411" s="86"/>
      <c r="C411" s="87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</row>
    <row r="412" spans="1:33" x14ac:dyDescent="0.25">
      <c r="A412" s="85"/>
      <c r="B412" s="86"/>
      <c r="C412" s="87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</row>
    <row r="413" spans="1:33" x14ac:dyDescent="0.25">
      <c r="A413" s="85"/>
      <c r="B413" s="86"/>
      <c r="C413" s="87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</row>
    <row r="414" spans="1:33" x14ac:dyDescent="0.25">
      <c r="A414" s="85"/>
      <c r="B414" s="86"/>
      <c r="C414" s="87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</row>
    <row r="415" spans="1:33" x14ac:dyDescent="0.25">
      <c r="A415" s="85"/>
      <c r="B415" s="86"/>
      <c r="C415" s="87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</row>
    <row r="416" spans="1:33" x14ac:dyDescent="0.25">
      <c r="A416" s="85"/>
      <c r="B416" s="86"/>
      <c r="C416" s="87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</row>
    <row r="417" spans="1:33" x14ac:dyDescent="0.25">
      <c r="A417" s="85"/>
      <c r="B417" s="86"/>
      <c r="C417" s="87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</row>
    <row r="418" spans="1:33" x14ac:dyDescent="0.25">
      <c r="A418" s="85"/>
      <c r="B418" s="86"/>
      <c r="C418" s="87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</row>
    <row r="419" spans="1:33" x14ac:dyDescent="0.25">
      <c r="A419" s="85"/>
      <c r="B419" s="86"/>
      <c r="C419" s="87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</row>
    <row r="420" spans="1:33" x14ac:dyDescent="0.25">
      <c r="A420" s="85"/>
      <c r="B420" s="86"/>
      <c r="C420" s="87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</row>
    <row r="421" spans="1:33" x14ac:dyDescent="0.25">
      <c r="A421" s="85"/>
      <c r="B421" s="86"/>
      <c r="C421" s="87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</row>
    <row r="422" spans="1:33" x14ac:dyDescent="0.25">
      <c r="A422" s="85"/>
      <c r="B422" s="86"/>
      <c r="C422" s="87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</row>
    <row r="423" spans="1:33" x14ac:dyDescent="0.25">
      <c r="A423" s="85"/>
      <c r="B423" s="86"/>
      <c r="C423" s="87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</row>
    <row r="424" spans="1:33" x14ac:dyDescent="0.25">
      <c r="A424" s="85"/>
      <c r="B424" s="86"/>
      <c r="C424" s="87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</row>
    <row r="425" spans="1:33" x14ac:dyDescent="0.25">
      <c r="A425" s="85"/>
      <c r="B425" s="86"/>
      <c r="C425" s="87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</row>
    <row r="426" spans="1:33" x14ac:dyDescent="0.25">
      <c r="A426" s="85"/>
      <c r="B426" s="86"/>
      <c r="C426" s="87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</row>
    <row r="427" spans="1:33" x14ac:dyDescent="0.25">
      <c r="A427" s="85"/>
      <c r="B427" s="86"/>
      <c r="C427" s="87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</row>
    <row r="428" spans="1:33" x14ac:dyDescent="0.25">
      <c r="A428" s="85"/>
      <c r="B428" s="86"/>
      <c r="C428" s="87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</row>
    <row r="429" spans="1:33" x14ac:dyDescent="0.25">
      <c r="A429" s="85"/>
      <c r="B429" s="86"/>
      <c r="C429" s="87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</row>
    <row r="430" spans="1:33" x14ac:dyDescent="0.25">
      <c r="A430" s="85"/>
      <c r="B430" s="86"/>
      <c r="C430" s="87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</row>
    <row r="431" spans="1:33" x14ac:dyDescent="0.25">
      <c r="A431" s="85"/>
      <c r="B431" s="86"/>
      <c r="C431" s="87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</row>
    <row r="432" spans="1:33" x14ac:dyDescent="0.25">
      <c r="A432" s="85"/>
      <c r="B432" s="86"/>
      <c r="C432" s="87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</row>
    <row r="433" spans="1:33" x14ac:dyDescent="0.25">
      <c r="A433" s="85"/>
      <c r="B433" s="86"/>
      <c r="C433" s="87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</row>
    <row r="434" spans="1:33" x14ac:dyDescent="0.25">
      <c r="A434" s="85"/>
      <c r="B434" s="86"/>
      <c r="C434" s="87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</row>
    <row r="435" spans="1:33" x14ac:dyDescent="0.25">
      <c r="A435" s="85"/>
      <c r="B435" s="86"/>
      <c r="C435" s="87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</row>
    <row r="436" spans="1:33" x14ac:dyDescent="0.25">
      <c r="A436" s="85"/>
      <c r="B436" s="86"/>
      <c r="C436" s="87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</row>
    <row r="437" spans="1:33" x14ac:dyDescent="0.25">
      <c r="A437" s="85"/>
      <c r="B437" s="86"/>
      <c r="C437" s="87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</row>
    <row r="438" spans="1:33" x14ac:dyDescent="0.25">
      <c r="A438" s="85"/>
      <c r="B438" s="86"/>
      <c r="C438" s="87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</row>
    <row r="439" spans="1:33" x14ac:dyDescent="0.25">
      <c r="A439" s="85"/>
      <c r="B439" s="86"/>
      <c r="C439" s="87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</row>
    <row r="440" spans="1:33" x14ac:dyDescent="0.25">
      <c r="A440" s="85"/>
      <c r="B440" s="86"/>
      <c r="C440" s="87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</row>
    <row r="441" spans="1:33" x14ac:dyDescent="0.25">
      <c r="A441" s="85"/>
      <c r="B441" s="86"/>
      <c r="C441" s="87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</row>
    <row r="442" spans="1:33" x14ac:dyDescent="0.25">
      <c r="A442" s="85"/>
      <c r="B442" s="86"/>
      <c r="C442" s="87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</row>
    <row r="443" spans="1:33" x14ac:dyDescent="0.25">
      <c r="A443" s="85"/>
      <c r="B443" s="86"/>
      <c r="C443" s="87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</row>
    <row r="444" spans="1:33" x14ac:dyDescent="0.25">
      <c r="A444" s="85"/>
      <c r="B444" s="86"/>
      <c r="C444" s="87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</row>
    <row r="445" spans="1:33" x14ac:dyDescent="0.25">
      <c r="A445" s="85"/>
      <c r="B445" s="86"/>
      <c r="C445" s="87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</row>
    <row r="446" spans="1:33" x14ac:dyDescent="0.25">
      <c r="A446" s="85"/>
      <c r="B446" s="86"/>
      <c r="C446" s="87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</row>
    <row r="447" spans="1:33" x14ac:dyDescent="0.25">
      <c r="A447" s="85"/>
      <c r="B447" s="86"/>
      <c r="C447" s="87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</row>
    <row r="448" spans="1:33" x14ac:dyDescent="0.25">
      <c r="A448" s="85"/>
      <c r="B448" s="86"/>
      <c r="C448" s="87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</row>
    <row r="449" spans="1:33" x14ac:dyDescent="0.25">
      <c r="A449" s="85"/>
      <c r="B449" s="86"/>
      <c r="C449" s="87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</row>
    <row r="450" spans="1:33" x14ac:dyDescent="0.25">
      <c r="A450" s="85"/>
      <c r="B450" s="86"/>
      <c r="C450" s="87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</row>
    <row r="451" spans="1:33" x14ac:dyDescent="0.25">
      <c r="A451" s="85"/>
      <c r="B451" s="86"/>
      <c r="C451" s="87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</row>
    <row r="452" spans="1:33" x14ac:dyDescent="0.25">
      <c r="A452" s="85"/>
      <c r="B452" s="86"/>
      <c r="C452" s="87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</row>
    <row r="453" spans="1:33" x14ac:dyDescent="0.25">
      <c r="A453" s="85"/>
      <c r="B453" s="86"/>
      <c r="C453" s="87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</row>
    <row r="454" spans="1:33" x14ac:dyDescent="0.25">
      <c r="A454" s="85"/>
      <c r="B454" s="86"/>
      <c r="C454" s="87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</row>
    <row r="455" spans="1:33" x14ac:dyDescent="0.25">
      <c r="A455" s="85"/>
      <c r="B455" s="86"/>
      <c r="C455" s="87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</row>
    <row r="456" spans="1:33" x14ac:dyDescent="0.25">
      <c r="A456" s="85"/>
      <c r="B456" s="86"/>
      <c r="C456" s="87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</row>
    <row r="457" spans="1:33" x14ac:dyDescent="0.25">
      <c r="A457" s="85"/>
      <c r="B457" s="86"/>
      <c r="C457" s="87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</row>
    <row r="458" spans="1:33" x14ac:dyDescent="0.25">
      <c r="A458" s="85"/>
      <c r="B458" s="86"/>
      <c r="C458" s="87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</row>
    <row r="459" spans="1:33" x14ac:dyDescent="0.25">
      <c r="A459" s="85"/>
      <c r="B459" s="86"/>
      <c r="C459" s="87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</row>
    <row r="460" spans="1:33" x14ac:dyDescent="0.25">
      <c r="A460" s="85"/>
      <c r="B460" s="86"/>
      <c r="C460" s="87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</row>
    <row r="461" spans="1:33" x14ac:dyDescent="0.25">
      <c r="A461" s="85"/>
      <c r="B461" s="86"/>
      <c r="C461" s="87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</row>
    <row r="462" spans="1:33" x14ac:dyDescent="0.25">
      <c r="A462" s="85"/>
      <c r="B462" s="86"/>
      <c r="C462" s="87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</row>
    <row r="463" spans="1:33" x14ac:dyDescent="0.25">
      <c r="A463" s="85"/>
      <c r="B463" s="86"/>
      <c r="C463" s="87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</row>
    <row r="464" spans="1:33" x14ac:dyDescent="0.25">
      <c r="A464" s="85"/>
      <c r="B464" s="86"/>
      <c r="C464" s="87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</row>
    <row r="465" spans="1:33" x14ac:dyDescent="0.25">
      <c r="A465" s="85"/>
      <c r="B465" s="86"/>
      <c r="C465" s="87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</row>
    <row r="466" spans="1:33" x14ac:dyDescent="0.25">
      <c r="A466" s="85"/>
      <c r="B466" s="86"/>
      <c r="C466" s="87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</row>
    <row r="467" spans="1:33" x14ac:dyDescent="0.25">
      <c r="A467" s="85"/>
      <c r="B467" s="86"/>
      <c r="C467" s="87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</row>
    <row r="468" spans="1:33" x14ac:dyDescent="0.25">
      <c r="A468" s="85"/>
      <c r="B468" s="86"/>
      <c r="C468" s="87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</row>
    <row r="469" spans="1:33" x14ac:dyDescent="0.25">
      <c r="A469" s="85"/>
      <c r="B469" s="86"/>
      <c r="C469" s="87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</row>
    <row r="470" spans="1:33" x14ac:dyDescent="0.25">
      <c r="A470" s="85"/>
      <c r="B470" s="86"/>
      <c r="C470" s="87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</row>
    <row r="471" spans="1:33" x14ac:dyDescent="0.25">
      <c r="A471" s="85"/>
      <c r="B471" s="86"/>
      <c r="C471" s="87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</row>
    <row r="472" spans="1:33" x14ac:dyDescent="0.25">
      <c r="A472" s="85"/>
      <c r="B472" s="86"/>
      <c r="C472" s="87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</row>
    <row r="473" spans="1:33" x14ac:dyDescent="0.25">
      <c r="A473" s="85"/>
      <c r="B473" s="86"/>
      <c r="C473" s="87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</row>
    <row r="474" spans="1:33" x14ac:dyDescent="0.25">
      <c r="A474" s="85"/>
      <c r="B474" s="86"/>
      <c r="C474" s="87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</row>
    <row r="475" spans="1:33" x14ac:dyDescent="0.25">
      <c r="A475" s="85"/>
      <c r="B475" s="86"/>
      <c r="C475" s="87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</row>
    <row r="476" spans="1:33" x14ac:dyDescent="0.25">
      <c r="A476" s="85"/>
      <c r="B476" s="86"/>
      <c r="C476" s="87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</row>
    <row r="477" spans="1:33" x14ac:dyDescent="0.25">
      <c r="A477" s="85"/>
      <c r="B477" s="86"/>
      <c r="C477" s="87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</row>
    <row r="478" spans="1:33" x14ac:dyDescent="0.25">
      <c r="A478" s="85"/>
      <c r="B478" s="86"/>
      <c r="C478" s="87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</row>
    <row r="479" spans="1:33" x14ac:dyDescent="0.25">
      <c r="A479" s="85"/>
      <c r="B479" s="86"/>
      <c r="C479" s="87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</row>
    <row r="480" spans="1:33" x14ac:dyDescent="0.25">
      <c r="A480" s="85"/>
      <c r="B480" s="86"/>
      <c r="C480" s="87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</row>
    <row r="481" spans="1:33" x14ac:dyDescent="0.25">
      <c r="A481" s="85"/>
      <c r="B481" s="86"/>
      <c r="C481" s="87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</row>
    <row r="482" spans="1:33" x14ac:dyDescent="0.25">
      <c r="A482" s="85"/>
      <c r="B482" s="86"/>
      <c r="C482" s="87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</row>
    <row r="483" spans="1:33" x14ac:dyDescent="0.25">
      <c r="A483" s="85"/>
      <c r="B483" s="86"/>
      <c r="C483" s="87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</row>
    <row r="484" spans="1:33" x14ac:dyDescent="0.25">
      <c r="A484" s="85"/>
      <c r="B484" s="86"/>
      <c r="C484" s="87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</row>
    <row r="485" spans="1:33" x14ac:dyDescent="0.25">
      <c r="A485" s="85"/>
      <c r="B485" s="86"/>
      <c r="C485" s="87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</row>
    <row r="486" spans="1:33" x14ac:dyDescent="0.25">
      <c r="A486" s="85"/>
      <c r="B486" s="86"/>
      <c r="C486" s="87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</row>
    <row r="487" spans="1:33" x14ac:dyDescent="0.25">
      <c r="A487" s="85"/>
      <c r="B487" s="86"/>
      <c r="C487" s="87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</row>
    <row r="488" spans="1:33" x14ac:dyDescent="0.25">
      <c r="A488" s="85"/>
      <c r="B488" s="86"/>
      <c r="C488" s="87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</row>
    <row r="489" spans="1:33" x14ac:dyDescent="0.25">
      <c r="A489" s="85"/>
      <c r="B489" s="86"/>
      <c r="C489" s="87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</row>
    <row r="490" spans="1:33" x14ac:dyDescent="0.25">
      <c r="A490" s="85"/>
      <c r="B490" s="86"/>
      <c r="C490" s="87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</row>
    <row r="491" spans="1:33" x14ac:dyDescent="0.25">
      <c r="A491" s="85"/>
      <c r="B491" s="86"/>
      <c r="C491" s="87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</row>
    <row r="492" spans="1:33" x14ac:dyDescent="0.25">
      <c r="A492" s="85"/>
      <c r="B492" s="86"/>
      <c r="C492" s="87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</row>
    <row r="493" spans="1:33" x14ac:dyDescent="0.25">
      <c r="A493" s="85"/>
      <c r="B493" s="86"/>
      <c r="C493" s="87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</row>
    <row r="494" spans="1:33" x14ac:dyDescent="0.25">
      <c r="A494" s="85"/>
      <c r="B494" s="86"/>
      <c r="C494" s="87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</row>
    <row r="495" spans="1:33" x14ac:dyDescent="0.25">
      <c r="A495" s="85"/>
      <c r="B495" s="86"/>
      <c r="C495" s="87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</row>
    <row r="496" spans="1:33" x14ac:dyDescent="0.25">
      <c r="A496" s="85"/>
      <c r="B496" s="86"/>
      <c r="C496" s="87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</row>
    <row r="497" spans="1:33" x14ac:dyDescent="0.25">
      <c r="A497" s="85"/>
      <c r="B497" s="86"/>
      <c r="C497" s="87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</row>
    <row r="498" spans="1:33" x14ac:dyDescent="0.25">
      <c r="A498" s="85"/>
      <c r="B498" s="86"/>
      <c r="C498" s="87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</row>
    <row r="499" spans="1:33" x14ac:dyDescent="0.25">
      <c r="A499" s="85"/>
      <c r="B499" s="86"/>
      <c r="C499" s="87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</row>
    <row r="500" spans="1:33" x14ac:dyDescent="0.25">
      <c r="A500" s="85"/>
      <c r="B500" s="86"/>
      <c r="C500" s="87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</row>
    <row r="501" spans="1:33" x14ac:dyDescent="0.25">
      <c r="A501" s="85"/>
      <c r="B501" s="86"/>
      <c r="C501" s="87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</row>
    <row r="502" spans="1:33" x14ac:dyDescent="0.25">
      <c r="A502" s="85"/>
      <c r="B502" s="86"/>
      <c r="C502" s="87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</row>
    <row r="503" spans="1:33" x14ac:dyDescent="0.25">
      <c r="A503" s="85"/>
      <c r="B503" s="86"/>
      <c r="C503" s="87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</row>
    <row r="504" spans="1:33" x14ac:dyDescent="0.25">
      <c r="A504" s="85"/>
      <c r="B504" s="86"/>
      <c r="C504" s="87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</row>
    <row r="505" spans="1:33" x14ac:dyDescent="0.25">
      <c r="A505" s="85"/>
      <c r="B505" s="86"/>
      <c r="C505" s="87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</row>
    <row r="506" spans="1:33" x14ac:dyDescent="0.25">
      <c r="A506" s="85"/>
      <c r="B506" s="86"/>
      <c r="C506" s="87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</row>
    <row r="507" spans="1:33" x14ac:dyDescent="0.25">
      <c r="A507" s="85"/>
      <c r="B507" s="86"/>
      <c r="C507" s="87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</row>
    <row r="508" spans="1:33" x14ac:dyDescent="0.25">
      <c r="A508" s="85"/>
      <c r="B508" s="86"/>
      <c r="C508" s="87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</row>
    <row r="509" spans="1:33" x14ac:dyDescent="0.25">
      <c r="A509" s="85"/>
      <c r="B509" s="86"/>
      <c r="C509" s="87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</row>
    <row r="510" spans="1:33" x14ac:dyDescent="0.25">
      <c r="A510" s="85"/>
      <c r="B510" s="86"/>
      <c r="C510" s="87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</row>
    <row r="511" spans="1:33" x14ac:dyDescent="0.25">
      <c r="A511" s="85"/>
      <c r="B511" s="86"/>
      <c r="C511" s="87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</row>
    <row r="512" spans="1:33" x14ac:dyDescent="0.25">
      <c r="A512" s="85"/>
      <c r="B512" s="86"/>
      <c r="C512" s="87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</row>
    <row r="513" spans="1:33" x14ac:dyDescent="0.25">
      <c r="A513" s="85"/>
      <c r="B513" s="86"/>
      <c r="C513" s="87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</row>
    <row r="514" spans="1:33" x14ac:dyDescent="0.25">
      <c r="A514" s="85"/>
      <c r="B514" s="86"/>
      <c r="C514" s="87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</row>
    <row r="515" spans="1:33" x14ac:dyDescent="0.25">
      <c r="A515" s="85"/>
      <c r="B515" s="86"/>
      <c r="C515" s="87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</row>
    <row r="516" spans="1:33" x14ac:dyDescent="0.25">
      <c r="A516" s="85"/>
      <c r="B516" s="86"/>
      <c r="C516" s="87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</row>
    <row r="517" spans="1:33" x14ac:dyDescent="0.25">
      <c r="A517" s="85"/>
      <c r="B517" s="86"/>
      <c r="C517" s="87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</row>
    <row r="518" spans="1:33" x14ac:dyDescent="0.25">
      <c r="A518" s="85"/>
      <c r="B518" s="86"/>
      <c r="C518" s="87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</row>
    <row r="519" spans="1:33" x14ac:dyDescent="0.25">
      <c r="A519" s="85"/>
      <c r="B519" s="86"/>
      <c r="C519" s="87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</row>
    <row r="520" spans="1:33" x14ac:dyDescent="0.25">
      <c r="A520" s="85"/>
      <c r="B520" s="86"/>
      <c r="C520" s="87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</row>
    <row r="521" spans="1:33" x14ac:dyDescent="0.25">
      <c r="A521" s="85"/>
      <c r="B521" s="86"/>
      <c r="C521" s="87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</row>
    <row r="522" spans="1:33" x14ac:dyDescent="0.25">
      <c r="A522" s="85"/>
      <c r="B522" s="86"/>
      <c r="C522" s="87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</row>
    <row r="523" spans="1:33" x14ac:dyDescent="0.25">
      <c r="A523" s="85"/>
      <c r="B523" s="86"/>
      <c r="C523" s="87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</row>
    <row r="524" spans="1:33" x14ac:dyDescent="0.25">
      <c r="A524" s="85"/>
      <c r="B524" s="86"/>
      <c r="C524" s="87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</row>
    <row r="525" spans="1:33" x14ac:dyDescent="0.25">
      <c r="A525" s="85"/>
      <c r="B525" s="86"/>
      <c r="C525" s="87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</row>
    <row r="526" spans="1:33" x14ac:dyDescent="0.25">
      <c r="A526" s="85"/>
      <c r="B526" s="86"/>
      <c r="C526" s="87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</row>
    <row r="527" spans="1:33" x14ac:dyDescent="0.25">
      <c r="A527" s="85"/>
      <c r="B527" s="86"/>
      <c r="C527" s="87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</row>
    <row r="528" spans="1:33" x14ac:dyDescent="0.25">
      <c r="A528" s="85"/>
      <c r="B528" s="86"/>
      <c r="C528" s="87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</row>
    <row r="529" spans="1:33" x14ac:dyDescent="0.25">
      <c r="A529" s="85"/>
      <c r="B529" s="86"/>
      <c r="C529" s="87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</row>
    <row r="530" spans="1:33" x14ac:dyDescent="0.25">
      <c r="A530" s="85"/>
      <c r="B530" s="86"/>
      <c r="C530" s="87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</row>
    <row r="531" spans="1:33" x14ac:dyDescent="0.25">
      <c r="A531" s="85"/>
      <c r="B531" s="86"/>
      <c r="C531" s="87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</row>
    <row r="532" spans="1:33" x14ac:dyDescent="0.25">
      <c r="A532" s="85"/>
      <c r="B532" s="86"/>
      <c r="C532" s="87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</row>
    <row r="533" spans="1:33" x14ac:dyDescent="0.25">
      <c r="A533" s="85"/>
      <c r="B533" s="86"/>
      <c r="C533" s="87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</row>
    <row r="534" spans="1:33" x14ac:dyDescent="0.25">
      <c r="A534" s="85"/>
      <c r="B534" s="86"/>
      <c r="C534" s="87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</row>
    <row r="535" spans="1:33" x14ac:dyDescent="0.25">
      <c r="A535" s="85"/>
      <c r="B535" s="86"/>
      <c r="C535" s="87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</row>
    <row r="536" spans="1:33" x14ac:dyDescent="0.25">
      <c r="A536" s="85"/>
      <c r="B536" s="86"/>
      <c r="C536" s="87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</row>
    <row r="537" spans="1:33" x14ac:dyDescent="0.25">
      <c r="A537" s="85"/>
      <c r="B537" s="86"/>
      <c r="C537" s="87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</row>
    <row r="538" spans="1:33" x14ac:dyDescent="0.25">
      <c r="A538" s="85"/>
      <c r="B538" s="86"/>
      <c r="C538" s="87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</row>
    <row r="539" spans="1:33" x14ac:dyDescent="0.25">
      <c r="A539" s="85"/>
      <c r="B539" s="86"/>
      <c r="C539" s="87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</row>
    <row r="540" spans="1:33" x14ac:dyDescent="0.25">
      <c r="A540" s="85"/>
      <c r="B540" s="86"/>
      <c r="C540" s="87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</row>
    <row r="541" spans="1:33" x14ac:dyDescent="0.25">
      <c r="A541" s="85"/>
      <c r="B541" s="86"/>
      <c r="C541" s="87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</row>
    <row r="542" spans="1:33" x14ac:dyDescent="0.25">
      <c r="A542" s="85"/>
      <c r="B542" s="86"/>
      <c r="C542" s="87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</row>
    <row r="543" spans="1:33" x14ac:dyDescent="0.25">
      <c r="A543" s="85"/>
      <c r="B543" s="86"/>
      <c r="C543" s="87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</row>
    <row r="544" spans="1:33" x14ac:dyDescent="0.25">
      <c r="A544" s="85"/>
      <c r="B544" s="86"/>
      <c r="C544" s="87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</row>
    <row r="545" spans="1:33" x14ac:dyDescent="0.25">
      <c r="A545" s="85"/>
      <c r="B545" s="86"/>
      <c r="C545" s="87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</row>
    <row r="546" spans="1:33" x14ac:dyDescent="0.25">
      <c r="A546" s="85"/>
      <c r="B546" s="86"/>
      <c r="C546" s="87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</row>
    <row r="547" spans="1:33" x14ac:dyDescent="0.25">
      <c r="A547" s="85"/>
      <c r="B547" s="86"/>
      <c r="C547" s="87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</row>
    <row r="548" spans="1:33" x14ac:dyDescent="0.25">
      <c r="A548" s="85"/>
      <c r="B548" s="86"/>
      <c r="C548" s="87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</row>
    <row r="549" spans="1:33" x14ac:dyDescent="0.25">
      <c r="A549" s="85"/>
      <c r="B549" s="86"/>
      <c r="C549" s="87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</row>
    <row r="550" spans="1:33" x14ac:dyDescent="0.25">
      <c r="A550" s="85"/>
      <c r="B550" s="86"/>
      <c r="C550" s="87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</row>
    <row r="551" spans="1:33" x14ac:dyDescent="0.25">
      <c r="A551" s="85"/>
      <c r="B551" s="86"/>
      <c r="C551" s="87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</row>
    <row r="552" spans="1:33" x14ac:dyDescent="0.25">
      <c r="A552" s="85"/>
      <c r="B552" s="86"/>
      <c r="C552" s="87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</row>
    <row r="553" spans="1:33" x14ac:dyDescent="0.25">
      <c r="A553" s="85"/>
      <c r="B553" s="86"/>
      <c r="C553" s="87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</row>
    <row r="554" spans="1:33" x14ac:dyDescent="0.25">
      <c r="A554" s="85"/>
      <c r="B554" s="86"/>
      <c r="C554" s="87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</row>
    <row r="555" spans="1:33" x14ac:dyDescent="0.25">
      <c r="A555" s="85"/>
      <c r="B555" s="86"/>
      <c r="C555" s="87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</row>
    <row r="556" spans="1:33" x14ac:dyDescent="0.25">
      <c r="A556" s="85"/>
      <c r="B556" s="86"/>
      <c r="C556" s="87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</row>
    <row r="557" spans="1:33" x14ac:dyDescent="0.25">
      <c r="A557" s="85"/>
      <c r="B557" s="86"/>
      <c r="C557" s="87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</row>
    <row r="558" spans="1:33" x14ac:dyDescent="0.25">
      <c r="A558" s="85"/>
      <c r="B558" s="86"/>
      <c r="C558" s="87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</row>
    <row r="559" spans="1:33" x14ac:dyDescent="0.25">
      <c r="A559" s="85"/>
      <c r="B559" s="86"/>
      <c r="C559" s="87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</row>
    <row r="560" spans="1:33" x14ac:dyDescent="0.25">
      <c r="A560" s="85"/>
      <c r="B560" s="86"/>
      <c r="C560" s="87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</row>
    <row r="561" spans="1:33" x14ac:dyDescent="0.25">
      <c r="A561" s="85"/>
      <c r="B561" s="86"/>
      <c r="C561" s="87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</row>
    <row r="562" spans="1:33" x14ac:dyDescent="0.25">
      <c r="A562" s="85"/>
      <c r="B562" s="86"/>
      <c r="C562" s="87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</row>
    <row r="563" spans="1:33" x14ac:dyDescent="0.25">
      <c r="A563" s="85"/>
      <c r="B563" s="86"/>
      <c r="C563" s="87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</row>
    <row r="564" spans="1:33" x14ac:dyDescent="0.25">
      <c r="A564" s="85"/>
      <c r="B564" s="86"/>
      <c r="C564" s="87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</row>
    <row r="565" spans="1:33" x14ac:dyDescent="0.25">
      <c r="A565" s="85"/>
      <c r="B565" s="86"/>
      <c r="C565" s="87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</row>
    <row r="566" spans="1:33" x14ac:dyDescent="0.25">
      <c r="A566" s="85"/>
      <c r="B566" s="86"/>
      <c r="C566" s="87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</row>
    <row r="567" spans="1:33" x14ac:dyDescent="0.25">
      <c r="A567" s="85"/>
      <c r="B567" s="86"/>
      <c r="C567" s="87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</row>
    <row r="568" spans="1:33" x14ac:dyDescent="0.25">
      <c r="A568" s="85"/>
      <c r="B568" s="86"/>
      <c r="C568" s="87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</row>
    <row r="569" spans="1:33" x14ac:dyDescent="0.25">
      <c r="A569" s="85"/>
      <c r="B569" s="86"/>
      <c r="C569" s="87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</row>
    <row r="570" spans="1:33" x14ac:dyDescent="0.25">
      <c r="A570" s="85"/>
      <c r="B570" s="86"/>
      <c r="C570" s="87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</row>
    <row r="571" spans="1:33" x14ac:dyDescent="0.25">
      <c r="A571" s="85"/>
      <c r="B571" s="86"/>
      <c r="C571" s="87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</row>
    <row r="572" spans="1:33" x14ac:dyDescent="0.25">
      <c r="A572" s="85"/>
      <c r="B572" s="86"/>
      <c r="C572" s="87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</row>
    <row r="573" spans="1:33" x14ac:dyDescent="0.25">
      <c r="A573" s="85"/>
      <c r="B573" s="86"/>
      <c r="C573" s="87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</row>
    <row r="574" spans="1:33" x14ac:dyDescent="0.25">
      <c r="A574" s="85"/>
      <c r="B574" s="86"/>
      <c r="C574" s="87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</row>
    <row r="575" spans="1:33" x14ac:dyDescent="0.25">
      <c r="A575" s="85"/>
      <c r="B575" s="86"/>
      <c r="C575" s="87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</row>
    <row r="576" spans="1:33" x14ac:dyDescent="0.25">
      <c r="A576" s="85"/>
      <c r="B576" s="86"/>
      <c r="C576" s="87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</row>
    <row r="577" spans="1:33" x14ac:dyDescent="0.25">
      <c r="A577" s="85"/>
      <c r="B577" s="86"/>
      <c r="C577" s="87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</row>
    <row r="578" spans="1:33" x14ac:dyDescent="0.25">
      <c r="A578" s="85"/>
      <c r="B578" s="86"/>
      <c r="C578" s="87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</row>
    <row r="579" spans="1:33" x14ac:dyDescent="0.25">
      <c r="A579" s="85"/>
      <c r="B579" s="86"/>
      <c r="C579" s="87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</row>
    <row r="580" spans="1:33" x14ac:dyDescent="0.25">
      <c r="A580" s="85"/>
      <c r="B580" s="86"/>
      <c r="C580" s="87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</row>
    <row r="581" spans="1:33" x14ac:dyDescent="0.25">
      <c r="A581" s="85"/>
      <c r="B581" s="86"/>
      <c r="C581" s="87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</row>
    <row r="582" spans="1:33" x14ac:dyDescent="0.25">
      <c r="A582" s="85"/>
      <c r="B582" s="86"/>
      <c r="C582" s="87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</row>
    <row r="583" spans="1:33" x14ac:dyDescent="0.25">
      <c r="A583" s="85"/>
      <c r="B583" s="86"/>
      <c r="C583" s="87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</row>
    <row r="584" spans="1:33" x14ac:dyDescent="0.25">
      <c r="A584" s="85"/>
      <c r="B584" s="86"/>
      <c r="C584" s="87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</row>
    <row r="585" spans="1:33" x14ac:dyDescent="0.25">
      <c r="A585" s="85"/>
      <c r="B585" s="86"/>
      <c r="C585" s="87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</row>
    <row r="586" spans="1:33" x14ac:dyDescent="0.25">
      <c r="A586" s="85"/>
      <c r="B586" s="86"/>
      <c r="C586" s="87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</row>
    <row r="587" spans="1:33" x14ac:dyDescent="0.25">
      <c r="A587" s="85"/>
      <c r="B587" s="86"/>
      <c r="C587" s="87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</row>
    <row r="588" spans="1:33" x14ac:dyDescent="0.25">
      <c r="A588" s="85"/>
      <c r="B588" s="86"/>
      <c r="C588" s="87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</row>
    <row r="589" spans="1:33" x14ac:dyDescent="0.25">
      <c r="A589" s="85"/>
      <c r="B589" s="86"/>
      <c r="C589" s="87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</row>
    <row r="590" spans="1:33" x14ac:dyDescent="0.25">
      <c r="A590" s="85"/>
      <c r="B590" s="86"/>
      <c r="C590" s="87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</row>
    <row r="591" spans="1:33" x14ac:dyDescent="0.25">
      <c r="A591" s="85"/>
      <c r="B591" s="86"/>
      <c r="C591" s="87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</row>
    <row r="592" spans="1:33" x14ac:dyDescent="0.25">
      <c r="A592" s="85"/>
      <c r="B592" s="86"/>
      <c r="C592" s="87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</row>
    <row r="593" spans="1:33" x14ac:dyDescent="0.25">
      <c r="A593" s="85"/>
      <c r="B593" s="86"/>
      <c r="C593" s="87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</row>
    <row r="594" spans="1:33" x14ac:dyDescent="0.25">
      <c r="A594" s="85"/>
      <c r="B594" s="86"/>
      <c r="C594" s="87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</row>
    <row r="595" spans="1:33" x14ac:dyDescent="0.25">
      <c r="A595" s="85"/>
      <c r="B595" s="86"/>
      <c r="C595" s="87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</row>
    <row r="596" spans="1:33" x14ac:dyDescent="0.25">
      <c r="A596" s="85"/>
      <c r="B596" s="86"/>
      <c r="C596" s="87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</row>
    <row r="597" spans="1:33" x14ac:dyDescent="0.25">
      <c r="A597" s="85"/>
      <c r="B597" s="86"/>
      <c r="C597" s="87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</row>
    <row r="598" spans="1:33" x14ac:dyDescent="0.25">
      <c r="A598" s="85"/>
      <c r="B598" s="86"/>
      <c r="C598" s="87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</row>
    <row r="599" spans="1:33" x14ac:dyDescent="0.25">
      <c r="A599" s="85"/>
      <c r="B599" s="86"/>
      <c r="C599" s="87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</row>
    <row r="600" spans="1:33" x14ac:dyDescent="0.25">
      <c r="A600" s="85"/>
      <c r="B600" s="86"/>
      <c r="C600" s="87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</row>
    <row r="601" spans="1:33" x14ac:dyDescent="0.25">
      <c r="A601" s="85"/>
      <c r="B601" s="86"/>
      <c r="C601" s="87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</row>
    <row r="602" spans="1:33" x14ac:dyDescent="0.25">
      <c r="A602" s="85"/>
      <c r="B602" s="86"/>
      <c r="C602" s="87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</row>
    <row r="603" spans="1:33" x14ac:dyDescent="0.25">
      <c r="A603" s="85"/>
      <c r="B603" s="86"/>
      <c r="C603" s="87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</row>
    <row r="604" spans="1:33" x14ac:dyDescent="0.25">
      <c r="A604" s="85"/>
      <c r="B604" s="86"/>
      <c r="C604" s="87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</row>
    <row r="605" spans="1:33" x14ac:dyDescent="0.25">
      <c r="A605" s="85"/>
      <c r="B605" s="86"/>
      <c r="C605" s="87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</row>
    <row r="606" spans="1:33" x14ac:dyDescent="0.25">
      <c r="A606" s="85"/>
      <c r="B606" s="86"/>
      <c r="C606" s="87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</row>
    <row r="607" spans="1:33" x14ac:dyDescent="0.25">
      <c r="A607" s="85"/>
      <c r="B607" s="86"/>
      <c r="C607" s="87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</row>
    <row r="608" spans="1:33" x14ac:dyDescent="0.25">
      <c r="A608" s="85"/>
      <c r="B608" s="86"/>
      <c r="C608" s="87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</row>
    <row r="609" spans="1:33" x14ac:dyDescent="0.25">
      <c r="A609" s="85"/>
      <c r="B609" s="86"/>
      <c r="C609" s="87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</row>
    <row r="610" spans="1:33" x14ac:dyDescent="0.25">
      <c r="A610" s="85"/>
      <c r="B610" s="86"/>
      <c r="C610" s="87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</row>
    <row r="611" spans="1:33" x14ac:dyDescent="0.25">
      <c r="A611" s="85"/>
      <c r="B611" s="86"/>
      <c r="C611" s="87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</row>
    <row r="612" spans="1:33" x14ac:dyDescent="0.25">
      <c r="A612" s="85"/>
      <c r="B612" s="86"/>
      <c r="C612" s="87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</row>
    <row r="613" spans="1:33" x14ac:dyDescent="0.25">
      <c r="A613" s="85"/>
      <c r="B613" s="86"/>
      <c r="C613" s="87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</row>
    <row r="614" spans="1:33" x14ac:dyDescent="0.25">
      <c r="A614" s="85"/>
      <c r="B614" s="86"/>
      <c r="C614" s="87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</row>
    <row r="615" spans="1:33" x14ac:dyDescent="0.25">
      <c r="A615" s="85"/>
      <c r="B615" s="86"/>
      <c r="C615" s="87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</row>
    <row r="616" spans="1:33" x14ac:dyDescent="0.25">
      <c r="A616" s="85"/>
      <c r="B616" s="86"/>
      <c r="C616" s="87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</row>
    <row r="617" spans="1:33" x14ac:dyDescent="0.25">
      <c r="A617" s="85"/>
      <c r="B617" s="86"/>
      <c r="C617" s="87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</row>
    <row r="618" spans="1:33" x14ac:dyDescent="0.25">
      <c r="A618" s="85"/>
      <c r="B618" s="86"/>
      <c r="C618" s="87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</row>
    <row r="619" spans="1:33" x14ac:dyDescent="0.25">
      <c r="A619" s="85"/>
      <c r="B619" s="86"/>
      <c r="C619" s="87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</row>
    <row r="620" spans="1:33" x14ac:dyDescent="0.25">
      <c r="A620" s="85"/>
      <c r="B620" s="86"/>
      <c r="C620" s="87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</row>
    <row r="621" spans="1:33" x14ac:dyDescent="0.25">
      <c r="A621" s="85"/>
      <c r="B621" s="86"/>
      <c r="C621" s="87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</row>
    <row r="622" spans="1:33" x14ac:dyDescent="0.25">
      <c r="A622" s="85"/>
      <c r="B622" s="86"/>
      <c r="C622" s="87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</row>
    <row r="623" spans="1:33" x14ac:dyDescent="0.25">
      <c r="A623" s="85"/>
      <c r="B623" s="86"/>
      <c r="C623" s="87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</row>
    <row r="624" spans="1:33" x14ac:dyDescent="0.25">
      <c r="A624" s="85"/>
      <c r="B624" s="86"/>
      <c r="C624" s="87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</row>
    <row r="625" spans="1:33" x14ac:dyDescent="0.25">
      <c r="A625" s="85"/>
      <c r="B625" s="86"/>
      <c r="C625" s="87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</row>
    <row r="626" spans="1:33" x14ac:dyDescent="0.25">
      <c r="A626" s="85"/>
      <c r="B626" s="86"/>
      <c r="C626" s="87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</row>
    <row r="627" spans="1:33" x14ac:dyDescent="0.25">
      <c r="A627" s="85"/>
      <c r="B627" s="86"/>
      <c r="C627" s="87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</row>
    <row r="628" spans="1:33" x14ac:dyDescent="0.25">
      <c r="A628" s="85"/>
      <c r="B628" s="86"/>
      <c r="C628" s="87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</row>
    <row r="629" spans="1:33" x14ac:dyDescent="0.25">
      <c r="A629" s="85"/>
      <c r="B629" s="86"/>
      <c r="C629" s="87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</row>
    <row r="630" spans="1:33" x14ac:dyDescent="0.25">
      <c r="A630" s="85"/>
      <c r="B630" s="86"/>
      <c r="C630" s="87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</row>
    <row r="631" spans="1:33" x14ac:dyDescent="0.25">
      <c r="A631" s="85"/>
      <c r="B631" s="86"/>
      <c r="C631" s="87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</row>
    <row r="632" spans="1:33" x14ac:dyDescent="0.25">
      <c r="A632" s="85"/>
      <c r="B632" s="86"/>
      <c r="C632" s="87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</row>
    <row r="633" spans="1:33" x14ac:dyDescent="0.25">
      <c r="A633" s="85"/>
      <c r="B633" s="86"/>
      <c r="C633" s="87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</row>
    <row r="634" spans="1:33" x14ac:dyDescent="0.25">
      <c r="A634" s="85"/>
      <c r="B634" s="86"/>
      <c r="C634" s="87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</row>
    <row r="635" spans="1:33" x14ac:dyDescent="0.25">
      <c r="A635" s="85"/>
      <c r="B635" s="86"/>
      <c r="C635" s="87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</row>
    <row r="636" spans="1:33" x14ac:dyDescent="0.25">
      <c r="A636" s="85"/>
      <c r="B636" s="86"/>
      <c r="C636" s="87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</row>
    <row r="637" spans="1:33" x14ac:dyDescent="0.25">
      <c r="A637" s="85"/>
      <c r="B637" s="86"/>
      <c r="C637" s="87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</row>
    <row r="638" spans="1:33" x14ac:dyDescent="0.25">
      <c r="A638" s="85"/>
      <c r="B638" s="86"/>
      <c r="C638" s="87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</row>
    <row r="639" spans="1:33" x14ac:dyDescent="0.25">
      <c r="A639" s="85"/>
      <c r="B639" s="86"/>
      <c r="C639" s="87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</row>
    <row r="640" spans="1:33" x14ac:dyDescent="0.25">
      <c r="A640" s="85"/>
      <c r="B640" s="86"/>
      <c r="C640" s="87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</row>
    <row r="641" spans="1:33" x14ac:dyDescent="0.25">
      <c r="A641" s="85"/>
      <c r="B641" s="86"/>
      <c r="C641" s="87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</row>
    <row r="642" spans="1:33" x14ac:dyDescent="0.25">
      <c r="A642" s="85"/>
      <c r="B642" s="86"/>
      <c r="C642" s="87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</row>
    <row r="643" spans="1:33" x14ac:dyDescent="0.25">
      <c r="A643" s="85"/>
      <c r="B643" s="86"/>
      <c r="C643" s="87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</row>
    <row r="644" spans="1:33" x14ac:dyDescent="0.25">
      <c r="A644" s="85"/>
      <c r="B644" s="86"/>
      <c r="C644" s="87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</row>
    <row r="645" spans="1:33" x14ac:dyDescent="0.25">
      <c r="A645" s="85"/>
      <c r="B645" s="86"/>
      <c r="C645" s="87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</row>
    <row r="646" spans="1:33" x14ac:dyDescent="0.25">
      <c r="A646" s="85"/>
      <c r="B646" s="86"/>
      <c r="C646" s="87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</row>
    <row r="647" spans="1:33" x14ac:dyDescent="0.25">
      <c r="A647" s="85"/>
      <c r="B647" s="86"/>
      <c r="C647" s="87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</row>
    <row r="648" spans="1:33" x14ac:dyDescent="0.25">
      <c r="A648" s="85"/>
      <c r="B648" s="86"/>
      <c r="C648" s="87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</row>
    <row r="649" spans="1:33" x14ac:dyDescent="0.25">
      <c r="A649" s="85"/>
      <c r="B649" s="86"/>
      <c r="C649" s="87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</row>
    <row r="650" spans="1:33" x14ac:dyDescent="0.25">
      <c r="A650" s="85"/>
      <c r="B650" s="86"/>
      <c r="C650" s="87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</row>
    <row r="651" spans="1:33" x14ac:dyDescent="0.25">
      <c r="A651" s="85"/>
      <c r="B651" s="86"/>
      <c r="C651" s="87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</row>
    <row r="652" spans="1:33" x14ac:dyDescent="0.25">
      <c r="A652" s="85"/>
      <c r="B652" s="86"/>
      <c r="C652" s="87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</row>
    <row r="653" spans="1:33" x14ac:dyDescent="0.25">
      <c r="A653" s="85"/>
      <c r="B653" s="86"/>
      <c r="C653" s="87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</row>
    <row r="654" spans="1:33" x14ac:dyDescent="0.25">
      <c r="A654" s="85"/>
      <c r="B654" s="86"/>
      <c r="C654" s="87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</row>
    <row r="655" spans="1:33" x14ac:dyDescent="0.25">
      <c r="A655" s="85"/>
      <c r="B655" s="86"/>
      <c r="C655" s="87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</row>
    <row r="656" spans="1:33" x14ac:dyDescent="0.25">
      <c r="A656" s="85"/>
      <c r="B656" s="86"/>
      <c r="C656" s="87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</row>
    <row r="657" spans="1:33" x14ac:dyDescent="0.25">
      <c r="A657" s="85"/>
      <c r="B657" s="86"/>
      <c r="C657" s="87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</row>
    <row r="658" spans="1:33" x14ac:dyDescent="0.25">
      <c r="A658" s="85"/>
      <c r="B658" s="86"/>
      <c r="C658" s="87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</row>
    <row r="659" spans="1:33" x14ac:dyDescent="0.25">
      <c r="A659" s="85"/>
      <c r="B659" s="86"/>
      <c r="C659" s="87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</row>
    <row r="660" spans="1:33" x14ac:dyDescent="0.25">
      <c r="A660" s="85"/>
      <c r="B660" s="86"/>
      <c r="C660" s="87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</row>
    <row r="661" spans="1:33" x14ac:dyDescent="0.25">
      <c r="A661" s="85"/>
      <c r="B661" s="86"/>
      <c r="C661" s="87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</row>
    <row r="662" spans="1:33" x14ac:dyDescent="0.25">
      <c r="A662" s="85"/>
      <c r="B662" s="86"/>
      <c r="C662" s="87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</row>
    <row r="663" spans="1:33" x14ac:dyDescent="0.25">
      <c r="A663" s="85"/>
      <c r="B663" s="86"/>
      <c r="C663" s="87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</row>
    <row r="664" spans="1:33" x14ac:dyDescent="0.25">
      <c r="A664" s="85"/>
      <c r="B664" s="86"/>
      <c r="C664" s="87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</row>
    <row r="665" spans="1:33" x14ac:dyDescent="0.25">
      <c r="A665" s="85"/>
      <c r="B665" s="86"/>
      <c r="C665" s="87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</row>
    <row r="666" spans="1:33" x14ac:dyDescent="0.25">
      <c r="A666" s="85"/>
      <c r="B666" s="86"/>
      <c r="C666" s="87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</row>
    <row r="667" spans="1:33" x14ac:dyDescent="0.25">
      <c r="A667" s="85"/>
      <c r="B667" s="86"/>
      <c r="C667" s="87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</row>
    <row r="668" spans="1:33" x14ac:dyDescent="0.25">
      <c r="A668" s="85"/>
      <c r="B668" s="86"/>
      <c r="C668" s="87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</row>
    <row r="669" spans="1:33" x14ac:dyDescent="0.25">
      <c r="A669" s="85"/>
      <c r="B669" s="86"/>
      <c r="C669" s="87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</row>
    <row r="670" spans="1:33" x14ac:dyDescent="0.25">
      <c r="A670" s="85"/>
      <c r="B670" s="86"/>
      <c r="C670" s="87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</row>
    <row r="671" spans="1:33" x14ac:dyDescent="0.25">
      <c r="A671" s="85"/>
      <c r="B671" s="86"/>
      <c r="C671" s="87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</row>
    <row r="672" spans="1:33" x14ac:dyDescent="0.25">
      <c r="A672" s="85"/>
      <c r="B672" s="86"/>
      <c r="C672" s="87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</row>
    <row r="673" spans="1:33" x14ac:dyDescent="0.25">
      <c r="A673" s="85"/>
      <c r="B673" s="86"/>
      <c r="C673" s="87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</row>
    <row r="674" spans="1:33" x14ac:dyDescent="0.25">
      <c r="A674" s="85"/>
      <c r="B674" s="86"/>
      <c r="C674" s="87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</row>
    <row r="675" spans="1:33" x14ac:dyDescent="0.25">
      <c r="A675" s="85"/>
      <c r="B675" s="86"/>
      <c r="C675" s="87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</row>
    <row r="676" spans="1:33" x14ac:dyDescent="0.25">
      <c r="A676" s="85"/>
      <c r="B676" s="86"/>
      <c r="C676" s="87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</row>
    <row r="677" spans="1:33" x14ac:dyDescent="0.25">
      <c r="A677" s="85"/>
      <c r="B677" s="86"/>
      <c r="C677" s="87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</row>
    <row r="678" spans="1:33" x14ac:dyDescent="0.25">
      <c r="A678" s="85"/>
      <c r="B678" s="86"/>
      <c r="C678" s="87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</row>
    <row r="679" spans="1:33" x14ac:dyDescent="0.25">
      <c r="A679" s="85"/>
      <c r="B679" s="86"/>
      <c r="C679" s="87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</row>
    <row r="680" spans="1:33" x14ac:dyDescent="0.25">
      <c r="A680" s="85"/>
      <c r="B680" s="86"/>
      <c r="C680" s="87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</row>
    <row r="681" spans="1:33" x14ac:dyDescent="0.25">
      <c r="A681" s="85"/>
      <c r="B681" s="86"/>
      <c r="C681" s="87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</row>
    <row r="682" spans="1:33" x14ac:dyDescent="0.25">
      <c r="A682" s="85"/>
      <c r="B682" s="86"/>
      <c r="C682" s="87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</row>
    <row r="683" spans="1:33" x14ac:dyDescent="0.25">
      <c r="A683" s="85"/>
      <c r="B683" s="86"/>
      <c r="C683" s="87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</row>
    <row r="684" spans="1:33" x14ac:dyDescent="0.25">
      <c r="A684" s="85"/>
      <c r="B684" s="86"/>
      <c r="C684" s="87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</row>
    <row r="685" spans="1:33" x14ac:dyDescent="0.25">
      <c r="A685" s="85"/>
      <c r="B685" s="86"/>
      <c r="C685" s="87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</row>
    <row r="686" spans="1:33" x14ac:dyDescent="0.25">
      <c r="A686" s="85"/>
      <c r="B686" s="86"/>
      <c r="C686" s="87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</row>
    <row r="687" spans="1:33" x14ac:dyDescent="0.25">
      <c r="A687" s="85"/>
      <c r="B687" s="86"/>
      <c r="C687" s="87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</row>
    <row r="688" spans="1:33" x14ac:dyDescent="0.25">
      <c r="A688" s="85"/>
      <c r="B688" s="86"/>
      <c r="C688" s="87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</row>
    <row r="689" spans="1:33" x14ac:dyDescent="0.25">
      <c r="A689" s="85"/>
      <c r="B689" s="86"/>
      <c r="C689" s="87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</row>
    <row r="690" spans="1:33" x14ac:dyDescent="0.25">
      <c r="A690" s="85"/>
      <c r="B690" s="86"/>
      <c r="C690" s="87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</row>
    <row r="691" spans="1:33" x14ac:dyDescent="0.25">
      <c r="A691" s="85"/>
      <c r="B691" s="86"/>
      <c r="C691" s="87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</row>
    <row r="692" spans="1:33" x14ac:dyDescent="0.25">
      <c r="A692" s="85"/>
      <c r="B692" s="86"/>
      <c r="C692" s="87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</row>
    <row r="693" spans="1:33" x14ac:dyDescent="0.25">
      <c r="A693" s="85"/>
      <c r="B693" s="86"/>
      <c r="C693" s="87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</row>
    <row r="694" spans="1:33" x14ac:dyDescent="0.25">
      <c r="A694" s="85"/>
      <c r="B694" s="86"/>
      <c r="C694" s="87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</row>
    <row r="695" spans="1:33" x14ac:dyDescent="0.25">
      <c r="A695" s="85"/>
      <c r="B695" s="86"/>
      <c r="C695" s="87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</row>
    <row r="696" spans="1:33" x14ac:dyDescent="0.25">
      <c r="A696" s="85"/>
      <c r="B696" s="86"/>
      <c r="C696" s="87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</row>
    <row r="697" spans="1:33" x14ac:dyDescent="0.25">
      <c r="A697" s="85"/>
      <c r="B697" s="86"/>
      <c r="C697" s="87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</row>
    <row r="698" spans="1:33" x14ac:dyDescent="0.25">
      <c r="A698" s="85"/>
      <c r="B698" s="86"/>
      <c r="C698" s="87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</row>
    <row r="699" spans="1:33" x14ac:dyDescent="0.25">
      <c r="A699" s="85"/>
      <c r="B699" s="86"/>
      <c r="C699" s="87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</row>
    <row r="700" spans="1:33" x14ac:dyDescent="0.25">
      <c r="A700" s="85"/>
      <c r="B700" s="86"/>
      <c r="C700" s="87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</row>
    <row r="701" spans="1:33" x14ac:dyDescent="0.25">
      <c r="A701" s="85"/>
      <c r="B701" s="86"/>
      <c r="C701" s="87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</row>
    <row r="702" spans="1:33" x14ac:dyDescent="0.25">
      <c r="A702" s="85"/>
      <c r="B702" s="86"/>
      <c r="C702" s="87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</row>
    <row r="703" spans="1:33" x14ac:dyDescent="0.25">
      <c r="A703" s="85"/>
      <c r="B703" s="86"/>
      <c r="C703" s="87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</row>
    <row r="704" spans="1:33" x14ac:dyDescent="0.25">
      <c r="A704" s="85"/>
      <c r="B704" s="86"/>
      <c r="C704" s="87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</row>
    <row r="705" spans="1:33" x14ac:dyDescent="0.25">
      <c r="A705" s="85"/>
      <c r="B705" s="86"/>
      <c r="C705" s="87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</row>
    <row r="706" spans="1:33" x14ac:dyDescent="0.25">
      <c r="A706" s="85"/>
      <c r="B706" s="86"/>
      <c r="C706" s="87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</row>
    <row r="707" spans="1:33" x14ac:dyDescent="0.25">
      <c r="A707" s="85"/>
      <c r="B707" s="86"/>
      <c r="C707" s="87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</row>
    <row r="708" spans="1:33" x14ac:dyDescent="0.25">
      <c r="A708" s="85"/>
      <c r="B708" s="86"/>
      <c r="C708" s="87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</row>
    <row r="709" spans="1:33" x14ac:dyDescent="0.25">
      <c r="A709" s="85"/>
      <c r="B709" s="86"/>
      <c r="C709" s="87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</row>
    <row r="710" spans="1:33" x14ac:dyDescent="0.25">
      <c r="A710" s="85"/>
      <c r="B710" s="86"/>
      <c r="C710" s="87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</row>
    <row r="711" spans="1:33" x14ac:dyDescent="0.25">
      <c r="A711" s="85"/>
      <c r="B711" s="86"/>
      <c r="C711" s="87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</row>
    <row r="712" spans="1:33" x14ac:dyDescent="0.25">
      <c r="A712" s="85"/>
      <c r="B712" s="86"/>
      <c r="C712" s="87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</row>
    <row r="713" spans="1:33" x14ac:dyDescent="0.25">
      <c r="A713" s="85"/>
      <c r="B713" s="86"/>
      <c r="C713" s="87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</row>
    <row r="714" spans="1:33" x14ac:dyDescent="0.25">
      <c r="A714" s="85"/>
      <c r="B714" s="86"/>
      <c r="C714" s="87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</row>
    <row r="715" spans="1:33" x14ac:dyDescent="0.25">
      <c r="A715" s="85"/>
      <c r="B715" s="86"/>
      <c r="C715" s="87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</row>
    <row r="716" spans="1:33" x14ac:dyDescent="0.25">
      <c r="A716" s="85"/>
      <c r="B716" s="86"/>
      <c r="C716" s="87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</row>
    <row r="717" spans="1:33" x14ac:dyDescent="0.25">
      <c r="A717" s="85"/>
      <c r="B717" s="86"/>
      <c r="C717" s="87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</row>
    <row r="718" spans="1:33" x14ac:dyDescent="0.25">
      <c r="A718" s="85"/>
      <c r="B718" s="86"/>
      <c r="C718" s="87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</row>
    <row r="719" spans="1:33" x14ac:dyDescent="0.25">
      <c r="A719" s="85"/>
      <c r="B719" s="86"/>
      <c r="C719" s="87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</row>
    <row r="720" spans="1:33" x14ac:dyDescent="0.25">
      <c r="A720" s="85"/>
      <c r="B720" s="86"/>
      <c r="C720" s="87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</row>
    <row r="721" spans="1:33" x14ac:dyDescent="0.25">
      <c r="A721" s="85"/>
      <c r="B721" s="86"/>
      <c r="C721" s="87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</row>
    <row r="722" spans="1:33" x14ac:dyDescent="0.25">
      <c r="A722" s="85"/>
      <c r="B722" s="86"/>
      <c r="C722" s="87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</row>
    <row r="723" spans="1:33" x14ac:dyDescent="0.25">
      <c r="A723" s="85"/>
      <c r="B723" s="86"/>
      <c r="C723" s="87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</row>
    <row r="724" spans="1:33" x14ac:dyDescent="0.25">
      <c r="A724" s="85"/>
      <c r="B724" s="86"/>
      <c r="C724" s="87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</row>
    <row r="725" spans="1:33" x14ac:dyDescent="0.25">
      <c r="A725" s="85"/>
      <c r="B725" s="86"/>
      <c r="C725" s="87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</row>
    <row r="726" spans="1:33" x14ac:dyDescent="0.25">
      <c r="A726" s="85"/>
      <c r="B726" s="86"/>
      <c r="C726" s="87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</row>
    <row r="727" spans="1:33" x14ac:dyDescent="0.25">
      <c r="A727" s="85"/>
      <c r="B727" s="86"/>
      <c r="C727" s="87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</row>
    <row r="728" spans="1:33" x14ac:dyDescent="0.25">
      <c r="A728" s="85"/>
      <c r="B728" s="86"/>
      <c r="C728" s="87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</row>
    <row r="729" spans="1:33" x14ac:dyDescent="0.25">
      <c r="A729" s="85"/>
      <c r="B729" s="86"/>
      <c r="C729" s="87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</row>
    <row r="730" spans="1:33" x14ac:dyDescent="0.25">
      <c r="A730" s="85"/>
      <c r="B730" s="86"/>
      <c r="C730" s="87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</row>
    <row r="731" spans="1:33" x14ac:dyDescent="0.25">
      <c r="A731" s="85"/>
      <c r="B731" s="86"/>
      <c r="C731" s="87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</row>
    <row r="732" spans="1:33" x14ac:dyDescent="0.25">
      <c r="A732" s="85"/>
      <c r="B732" s="86"/>
      <c r="C732" s="87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</row>
    <row r="733" spans="1:33" x14ac:dyDescent="0.25">
      <c r="A733" s="85"/>
      <c r="B733" s="86"/>
      <c r="C733" s="87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</row>
    <row r="734" spans="1:33" x14ac:dyDescent="0.25">
      <c r="A734" s="85"/>
      <c r="B734" s="86"/>
      <c r="C734" s="87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</row>
    <row r="735" spans="1:33" x14ac:dyDescent="0.25">
      <c r="A735" s="85"/>
      <c r="B735" s="86"/>
      <c r="C735" s="87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</row>
    <row r="736" spans="1:33" x14ac:dyDescent="0.25">
      <c r="A736" s="85"/>
      <c r="B736" s="86"/>
      <c r="C736" s="87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</row>
    <row r="737" spans="1:33" x14ac:dyDescent="0.25">
      <c r="A737" s="85"/>
      <c r="B737" s="86"/>
      <c r="C737" s="87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</row>
    <row r="738" spans="1:33" x14ac:dyDescent="0.25">
      <c r="A738" s="85"/>
      <c r="B738" s="86"/>
      <c r="C738" s="87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</row>
    <row r="739" spans="1:33" x14ac:dyDescent="0.25">
      <c r="A739" s="85"/>
      <c r="B739" s="86"/>
      <c r="C739" s="87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</row>
    <row r="740" spans="1:33" x14ac:dyDescent="0.25">
      <c r="A740" s="85"/>
      <c r="B740" s="86"/>
      <c r="C740" s="87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</row>
    <row r="741" spans="1:33" x14ac:dyDescent="0.25">
      <c r="A741" s="85"/>
      <c r="B741" s="86"/>
      <c r="C741" s="87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</row>
    <row r="742" spans="1:33" x14ac:dyDescent="0.25">
      <c r="A742" s="85"/>
      <c r="B742" s="86"/>
      <c r="C742" s="87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</row>
    <row r="743" spans="1:33" x14ac:dyDescent="0.25">
      <c r="A743" s="85"/>
      <c r="B743" s="86"/>
      <c r="C743" s="87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</row>
    <row r="744" spans="1:33" x14ac:dyDescent="0.25">
      <c r="A744" s="85"/>
      <c r="B744" s="86"/>
      <c r="C744" s="87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</row>
    <row r="745" spans="1:33" x14ac:dyDescent="0.25">
      <c r="A745" s="85"/>
      <c r="B745" s="86"/>
      <c r="C745" s="87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</row>
    <row r="746" spans="1:33" x14ac:dyDescent="0.25">
      <c r="A746" s="85"/>
      <c r="B746" s="86"/>
      <c r="C746" s="87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</row>
    <row r="747" spans="1:33" x14ac:dyDescent="0.25">
      <c r="A747" s="85"/>
      <c r="B747" s="86"/>
      <c r="C747" s="87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</row>
    <row r="748" spans="1:33" x14ac:dyDescent="0.25">
      <c r="A748" s="85"/>
      <c r="B748" s="86"/>
      <c r="C748" s="87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</row>
    <row r="749" spans="1:33" x14ac:dyDescent="0.25">
      <c r="A749" s="85"/>
      <c r="B749" s="86"/>
      <c r="C749" s="87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</row>
    <row r="750" spans="1:33" x14ac:dyDescent="0.25">
      <c r="A750" s="85"/>
      <c r="B750" s="86"/>
      <c r="C750" s="87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</row>
    <row r="751" spans="1:33" x14ac:dyDescent="0.25">
      <c r="A751" s="85"/>
      <c r="B751" s="86"/>
      <c r="C751" s="87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</row>
    <row r="752" spans="1:33" x14ac:dyDescent="0.25">
      <c r="A752" s="85"/>
      <c r="B752" s="86"/>
      <c r="C752" s="87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</row>
    <row r="753" spans="1:33" x14ac:dyDescent="0.25">
      <c r="A753" s="85"/>
      <c r="B753" s="86"/>
      <c r="C753" s="87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</row>
    <row r="754" spans="1:33" x14ac:dyDescent="0.25">
      <c r="A754" s="85"/>
      <c r="B754" s="86"/>
      <c r="C754" s="87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</row>
    <row r="755" spans="1:33" x14ac:dyDescent="0.25">
      <c r="A755" s="85"/>
      <c r="B755" s="86"/>
      <c r="C755" s="87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</row>
    <row r="756" spans="1:33" x14ac:dyDescent="0.25">
      <c r="A756" s="85"/>
      <c r="B756" s="86"/>
      <c r="C756" s="87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</row>
    <row r="757" spans="1:33" x14ac:dyDescent="0.25">
      <c r="A757" s="85"/>
      <c r="B757" s="86"/>
      <c r="C757" s="87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</row>
    <row r="758" spans="1:33" x14ac:dyDescent="0.25">
      <c r="A758" s="85"/>
      <c r="B758" s="86"/>
      <c r="C758" s="87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</row>
    <row r="759" spans="1:33" x14ac:dyDescent="0.25">
      <c r="A759" s="85"/>
      <c r="B759" s="86"/>
      <c r="C759" s="87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</row>
    <row r="760" spans="1:33" x14ac:dyDescent="0.25">
      <c r="A760" s="85"/>
      <c r="B760" s="86"/>
      <c r="C760" s="87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</row>
    <row r="761" spans="1:33" x14ac:dyDescent="0.25">
      <c r="A761" s="85"/>
      <c r="B761" s="86"/>
      <c r="C761" s="87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</row>
    <row r="762" spans="1:33" x14ac:dyDescent="0.25">
      <c r="A762" s="85"/>
      <c r="B762" s="86"/>
      <c r="C762" s="87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</row>
    <row r="763" spans="1:33" x14ac:dyDescent="0.25">
      <c r="A763" s="85"/>
      <c r="B763" s="86"/>
      <c r="C763" s="87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</row>
    <row r="764" spans="1:33" x14ac:dyDescent="0.25">
      <c r="A764" s="85"/>
      <c r="B764" s="86"/>
      <c r="C764" s="87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</row>
    <row r="765" spans="1:33" x14ac:dyDescent="0.25">
      <c r="A765" s="85"/>
      <c r="B765" s="86"/>
      <c r="C765" s="87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</row>
    <row r="766" spans="1:33" x14ac:dyDescent="0.25">
      <c r="A766" s="85"/>
      <c r="B766" s="86"/>
      <c r="C766" s="87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</row>
    <row r="767" spans="1:33" x14ac:dyDescent="0.25">
      <c r="A767" s="85"/>
      <c r="B767" s="86"/>
      <c r="C767" s="87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</row>
    <row r="768" spans="1:33" x14ac:dyDescent="0.25">
      <c r="A768" s="85"/>
      <c r="B768" s="86"/>
      <c r="C768" s="87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</row>
    <row r="769" spans="1:33" x14ac:dyDescent="0.25">
      <c r="A769" s="85"/>
      <c r="B769" s="86"/>
      <c r="C769" s="87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</row>
    <row r="770" spans="1:33" x14ac:dyDescent="0.25">
      <c r="A770" s="85"/>
      <c r="B770" s="86"/>
      <c r="C770" s="87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</row>
    <row r="771" spans="1:33" x14ac:dyDescent="0.25">
      <c r="A771" s="85"/>
      <c r="B771" s="86"/>
      <c r="C771" s="87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</row>
    <row r="772" spans="1:33" x14ac:dyDescent="0.25">
      <c r="A772" s="85"/>
      <c r="B772" s="86"/>
      <c r="C772" s="87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</row>
    <row r="773" spans="1:33" x14ac:dyDescent="0.25">
      <c r="A773" s="85"/>
      <c r="B773" s="86"/>
      <c r="C773" s="87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</row>
    <row r="774" spans="1:33" x14ac:dyDescent="0.25">
      <c r="A774" s="85"/>
      <c r="B774" s="86"/>
      <c r="C774" s="87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</row>
    <row r="775" spans="1:33" x14ac:dyDescent="0.25">
      <c r="A775" s="85"/>
      <c r="B775" s="86"/>
      <c r="C775" s="87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</row>
    <row r="776" spans="1:33" x14ac:dyDescent="0.25">
      <c r="A776" s="85"/>
      <c r="B776" s="86"/>
      <c r="C776" s="87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</row>
    <row r="777" spans="1:33" x14ac:dyDescent="0.25">
      <c r="A777" s="85"/>
      <c r="B777" s="86"/>
      <c r="C777" s="87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</row>
    <row r="778" spans="1:33" x14ac:dyDescent="0.25">
      <c r="A778" s="85"/>
      <c r="B778" s="86"/>
      <c r="C778" s="87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</row>
    <row r="779" spans="1:33" x14ac:dyDescent="0.25">
      <c r="A779" s="85"/>
      <c r="B779" s="86"/>
      <c r="C779" s="87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</row>
    <row r="780" spans="1:33" x14ac:dyDescent="0.25">
      <c r="A780" s="85"/>
      <c r="B780" s="86"/>
      <c r="C780" s="87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</row>
    <row r="781" spans="1:33" x14ac:dyDescent="0.25">
      <c r="A781" s="85"/>
      <c r="B781" s="86"/>
      <c r="C781" s="87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</row>
    <row r="782" spans="1:33" x14ac:dyDescent="0.25">
      <c r="A782" s="85"/>
      <c r="B782" s="86"/>
      <c r="C782" s="87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</row>
    <row r="783" spans="1:33" x14ac:dyDescent="0.25">
      <c r="A783" s="85"/>
      <c r="B783" s="86"/>
      <c r="C783" s="87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</row>
    <row r="784" spans="1:33" x14ac:dyDescent="0.25">
      <c r="A784" s="85"/>
      <c r="B784" s="86"/>
      <c r="C784" s="87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</row>
    <row r="785" spans="1:33" x14ac:dyDescent="0.25">
      <c r="A785" s="85"/>
      <c r="B785" s="86"/>
      <c r="C785" s="87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</row>
    <row r="786" spans="1:33" x14ac:dyDescent="0.25">
      <c r="A786" s="85"/>
      <c r="B786" s="86"/>
      <c r="C786" s="87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</row>
    <row r="787" spans="1:33" x14ac:dyDescent="0.25">
      <c r="A787" s="85"/>
      <c r="B787" s="86"/>
      <c r="C787" s="87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</row>
    <row r="788" spans="1:33" x14ac:dyDescent="0.25">
      <c r="A788" s="85"/>
      <c r="B788" s="86"/>
      <c r="C788" s="87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</row>
    <row r="789" spans="1:33" x14ac:dyDescent="0.25">
      <c r="A789" s="85"/>
      <c r="B789" s="86"/>
      <c r="C789" s="87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</row>
    <row r="790" spans="1:33" x14ac:dyDescent="0.25">
      <c r="A790" s="85"/>
      <c r="B790" s="86"/>
      <c r="C790" s="87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</row>
    <row r="791" spans="1:33" x14ac:dyDescent="0.25">
      <c r="A791" s="85"/>
      <c r="B791" s="86"/>
      <c r="C791" s="87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</row>
    <row r="792" spans="1:33" x14ac:dyDescent="0.25">
      <c r="A792" s="85"/>
      <c r="B792" s="86"/>
      <c r="C792" s="87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</row>
    <row r="793" spans="1:33" x14ac:dyDescent="0.25">
      <c r="A793" s="85"/>
      <c r="B793" s="86"/>
      <c r="C793" s="87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</row>
    <row r="794" spans="1:33" x14ac:dyDescent="0.25">
      <c r="A794" s="85"/>
      <c r="B794" s="86"/>
      <c r="C794" s="87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</row>
    <row r="795" spans="1:33" x14ac:dyDescent="0.25">
      <c r="A795" s="85"/>
      <c r="B795" s="86"/>
      <c r="C795" s="87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</row>
    <row r="796" spans="1:33" x14ac:dyDescent="0.25">
      <c r="A796" s="85"/>
      <c r="B796" s="86"/>
      <c r="C796" s="87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</row>
    <row r="797" spans="1:33" x14ac:dyDescent="0.25">
      <c r="A797" s="85"/>
      <c r="B797" s="86"/>
      <c r="C797" s="87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</row>
    <row r="798" spans="1:33" x14ac:dyDescent="0.25">
      <c r="A798" s="85"/>
      <c r="B798" s="86"/>
      <c r="C798" s="87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</row>
    <row r="799" spans="1:33" x14ac:dyDescent="0.25">
      <c r="A799" s="85"/>
      <c r="B799" s="86"/>
      <c r="C799" s="87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</row>
    <row r="800" spans="1:33" x14ac:dyDescent="0.25">
      <c r="A800" s="85"/>
      <c r="B800" s="86"/>
      <c r="C800" s="87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</row>
    <row r="801" spans="1:33" x14ac:dyDescent="0.25">
      <c r="A801" s="85"/>
      <c r="B801" s="86"/>
      <c r="C801" s="87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</row>
    <row r="802" spans="1:33" x14ac:dyDescent="0.25">
      <c r="A802" s="85"/>
      <c r="B802" s="86"/>
      <c r="C802" s="87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</row>
    <row r="803" spans="1:33" x14ac:dyDescent="0.25">
      <c r="A803" s="85"/>
      <c r="B803" s="86"/>
      <c r="C803" s="87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</row>
    <row r="804" spans="1:33" x14ac:dyDescent="0.25">
      <c r="A804" s="85"/>
      <c r="B804" s="86"/>
      <c r="C804" s="87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</row>
    <row r="805" spans="1:33" x14ac:dyDescent="0.25">
      <c r="A805" s="85"/>
      <c r="B805" s="86"/>
      <c r="C805" s="87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</row>
    <row r="806" spans="1:33" x14ac:dyDescent="0.25">
      <c r="A806" s="85"/>
      <c r="B806" s="86"/>
      <c r="C806" s="87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</row>
    <row r="807" spans="1:33" x14ac:dyDescent="0.25">
      <c r="A807" s="85"/>
      <c r="B807" s="86"/>
      <c r="C807" s="87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</row>
    <row r="808" spans="1:33" x14ac:dyDescent="0.25">
      <c r="A808" s="85"/>
      <c r="B808" s="86"/>
      <c r="C808" s="87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</row>
    <row r="809" spans="1:33" x14ac:dyDescent="0.25">
      <c r="A809" s="85"/>
      <c r="B809" s="86"/>
      <c r="C809" s="87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</row>
    <row r="810" spans="1:33" x14ac:dyDescent="0.25">
      <c r="A810" s="85"/>
      <c r="B810" s="86"/>
      <c r="C810" s="87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</row>
    <row r="811" spans="1:33" x14ac:dyDescent="0.25">
      <c r="A811" s="85"/>
      <c r="B811" s="86"/>
      <c r="C811" s="87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</row>
    <row r="812" spans="1:33" x14ac:dyDescent="0.25">
      <c r="A812" s="85"/>
      <c r="B812" s="86"/>
      <c r="C812" s="87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</row>
    <row r="813" spans="1:33" x14ac:dyDescent="0.25">
      <c r="A813" s="85"/>
      <c r="B813" s="86"/>
      <c r="C813" s="87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</row>
    <row r="814" spans="1:33" x14ac:dyDescent="0.25">
      <c r="A814" s="85"/>
      <c r="B814" s="86"/>
      <c r="C814" s="87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</row>
    <row r="815" spans="1:33" x14ac:dyDescent="0.25">
      <c r="A815" s="85"/>
      <c r="B815" s="86"/>
      <c r="C815" s="87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</row>
    <row r="816" spans="1:33" x14ac:dyDescent="0.25">
      <c r="A816" s="85"/>
      <c r="B816" s="86"/>
      <c r="C816" s="87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</row>
    <row r="817" spans="1:33" x14ac:dyDescent="0.25">
      <c r="A817" s="85"/>
      <c r="B817" s="86"/>
      <c r="C817" s="87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</row>
    <row r="818" spans="1:33" x14ac:dyDescent="0.25">
      <c r="A818" s="85"/>
      <c r="B818" s="86"/>
      <c r="C818" s="87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</row>
    <row r="819" spans="1:33" x14ac:dyDescent="0.25">
      <c r="A819" s="85"/>
      <c r="B819" s="86"/>
      <c r="C819" s="87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</row>
    <row r="820" spans="1:33" x14ac:dyDescent="0.25">
      <c r="A820" s="85"/>
      <c r="B820" s="86"/>
      <c r="C820" s="87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</row>
    <row r="821" spans="1:33" x14ac:dyDescent="0.25">
      <c r="A821" s="85"/>
      <c r="B821" s="86"/>
      <c r="C821" s="87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</row>
    <row r="822" spans="1:33" x14ac:dyDescent="0.25">
      <c r="A822" s="85"/>
      <c r="B822" s="86"/>
      <c r="C822" s="87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</row>
    <row r="823" spans="1:33" x14ac:dyDescent="0.25">
      <c r="A823" s="85"/>
      <c r="B823" s="86"/>
      <c r="C823" s="87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</row>
    <row r="824" spans="1:33" x14ac:dyDescent="0.25">
      <c r="A824" s="85"/>
      <c r="B824" s="86"/>
      <c r="C824" s="87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</row>
    <row r="825" spans="1:33" x14ac:dyDescent="0.25">
      <c r="A825" s="85"/>
      <c r="B825" s="86"/>
      <c r="C825" s="87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</row>
    <row r="826" spans="1:33" x14ac:dyDescent="0.25">
      <c r="A826" s="85"/>
      <c r="B826" s="86"/>
      <c r="C826" s="87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</row>
    <row r="827" spans="1:33" x14ac:dyDescent="0.25">
      <c r="A827" s="85"/>
      <c r="B827" s="86"/>
      <c r="C827" s="87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</row>
    <row r="828" spans="1:33" x14ac:dyDescent="0.25">
      <c r="A828" s="85"/>
      <c r="B828" s="86"/>
      <c r="C828" s="87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</row>
    <row r="829" spans="1:33" x14ac:dyDescent="0.25">
      <c r="A829" s="85"/>
      <c r="B829" s="86"/>
      <c r="C829" s="87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</row>
    <row r="830" spans="1:33" x14ac:dyDescent="0.25">
      <c r="A830" s="85"/>
      <c r="B830" s="86"/>
      <c r="C830" s="87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</row>
    <row r="831" spans="1:33" x14ac:dyDescent="0.25">
      <c r="A831" s="85"/>
      <c r="B831" s="86"/>
      <c r="C831" s="87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</row>
    <row r="832" spans="1:33" x14ac:dyDescent="0.25">
      <c r="A832" s="85"/>
      <c r="B832" s="86"/>
      <c r="C832" s="87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</row>
    <row r="833" spans="1:33" x14ac:dyDescent="0.25">
      <c r="A833" s="85"/>
      <c r="B833" s="86"/>
      <c r="C833" s="87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</row>
    <row r="834" spans="1:33" x14ac:dyDescent="0.25">
      <c r="A834" s="85"/>
      <c r="B834" s="86"/>
      <c r="C834" s="87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</row>
    <row r="835" spans="1:33" x14ac:dyDescent="0.25">
      <c r="A835" s="85"/>
      <c r="B835" s="86"/>
      <c r="C835" s="87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</row>
    <row r="836" spans="1:33" x14ac:dyDescent="0.25">
      <c r="A836" s="85"/>
      <c r="B836" s="86"/>
      <c r="C836" s="87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</row>
    <row r="837" spans="1:33" x14ac:dyDescent="0.25">
      <c r="A837" s="85"/>
      <c r="B837" s="86"/>
      <c r="C837" s="87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</row>
    <row r="838" spans="1:33" x14ac:dyDescent="0.25">
      <c r="A838" s="85"/>
      <c r="B838" s="86"/>
      <c r="C838" s="87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</row>
    <row r="839" spans="1:33" x14ac:dyDescent="0.25">
      <c r="A839" s="85"/>
      <c r="B839" s="86"/>
      <c r="C839" s="87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</row>
    <row r="840" spans="1:33" x14ac:dyDescent="0.25">
      <c r="A840" s="85"/>
      <c r="B840" s="86"/>
      <c r="C840" s="87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</row>
    <row r="841" spans="1:33" x14ac:dyDescent="0.25">
      <c r="A841" s="85"/>
      <c r="B841" s="86"/>
      <c r="C841" s="87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</row>
    <row r="842" spans="1:33" x14ac:dyDescent="0.25">
      <c r="A842" s="85"/>
      <c r="B842" s="86"/>
      <c r="C842" s="87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</row>
    <row r="843" spans="1:33" x14ac:dyDescent="0.25">
      <c r="A843" s="85"/>
      <c r="B843" s="86"/>
      <c r="C843" s="87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</row>
    <row r="844" spans="1:33" x14ac:dyDescent="0.25">
      <c r="A844" s="85"/>
      <c r="B844" s="86"/>
      <c r="C844" s="87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</row>
    <row r="845" spans="1:33" x14ac:dyDescent="0.25">
      <c r="A845" s="85"/>
      <c r="B845" s="86"/>
      <c r="C845" s="87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</row>
    <row r="846" spans="1:33" x14ac:dyDescent="0.25">
      <c r="A846" s="85"/>
      <c r="B846" s="86"/>
      <c r="C846" s="87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</row>
    <row r="847" spans="1:33" x14ac:dyDescent="0.25">
      <c r="A847" s="85"/>
      <c r="B847" s="86"/>
      <c r="C847" s="87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</row>
    <row r="848" spans="1:33" x14ac:dyDescent="0.25">
      <c r="A848" s="85"/>
      <c r="B848" s="86"/>
      <c r="C848" s="87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</row>
    <row r="849" spans="1:33" x14ac:dyDescent="0.25">
      <c r="A849" s="85"/>
      <c r="B849" s="86"/>
      <c r="C849" s="87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</row>
    <row r="850" spans="1:33" x14ac:dyDescent="0.25">
      <c r="A850" s="85"/>
      <c r="B850" s="86"/>
      <c r="C850" s="87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</row>
    <row r="851" spans="1:33" x14ac:dyDescent="0.25">
      <c r="A851" s="85"/>
      <c r="B851" s="86"/>
      <c r="C851" s="87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</row>
    <row r="852" spans="1:33" x14ac:dyDescent="0.25">
      <c r="A852" s="85"/>
      <c r="B852" s="86"/>
      <c r="C852" s="87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</row>
    <row r="853" spans="1:33" x14ac:dyDescent="0.25">
      <c r="A853" s="85"/>
      <c r="B853" s="86"/>
      <c r="C853" s="87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</row>
    <row r="854" spans="1:33" x14ac:dyDescent="0.25">
      <c r="A854" s="85"/>
      <c r="B854" s="86"/>
      <c r="C854" s="87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</row>
    <row r="855" spans="1:33" x14ac:dyDescent="0.25">
      <c r="A855" s="85"/>
      <c r="B855" s="86"/>
      <c r="C855" s="87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</row>
    <row r="856" spans="1:33" x14ac:dyDescent="0.25">
      <c r="A856" s="85"/>
      <c r="B856" s="86"/>
      <c r="C856" s="87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</row>
    <row r="857" spans="1:33" x14ac:dyDescent="0.25">
      <c r="A857" s="85"/>
      <c r="B857" s="86"/>
      <c r="C857" s="87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</row>
    <row r="858" spans="1:33" x14ac:dyDescent="0.25">
      <c r="A858" s="85"/>
      <c r="B858" s="86"/>
      <c r="C858" s="87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</row>
    <row r="859" spans="1:33" x14ac:dyDescent="0.25">
      <c r="A859" s="85"/>
      <c r="B859" s="86"/>
      <c r="C859" s="87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</row>
    <row r="860" spans="1:33" x14ac:dyDescent="0.25">
      <c r="A860" s="85"/>
      <c r="B860" s="86"/>
      <c r="C860" s="87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</row>
    <row r="861" spans="1:33" x14ac:dyDescent="0.25">
      <c r="A861" s="85"/>
      <c r="B861" s="86"/>
      <c r="C861" s="87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</row>
    <row r="862" spans="1:33" x14ac:dyDescent="0.25">
      <c r="A862" s="85"/>
      <c r="B862" s="86"/>
      <c r="C862" s="87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</row>
    <row r="863" spans="1:33" x14ac:dyDescent="0.25">
      <c r="A863" s="85"/>
      <c r="B863" s="86"/>
      <c r="C863" s="87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</row>
    <row r="864" spans="1:33" x14ac:dyDescent="0.25">
      <c r="A864" s="85"/>
      <c r="B864" s="86"/>
      <c r="C864" s="87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</row>
    <row r="865" spans="1:33" x14ac:dyDescent="0.25">
      <c r="A865" s="85"/>
      <c r="B865" s="86"/>
      <c r="C865" s="87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</row>
    <row r="866" spans="1:33" x14ac:dyDescent="0.25">
      <c r="A866" s="85"/>
      <c r="B866" s="86"/>
      <c r="C866" s="87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</row>
    <row r="867" spans="1:33" x14ac:dyDescent="0.25">
      <c r="A867" s="85"/>
      <c r="B867" s="86"/>
      <c r="C867" s="87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</row>
    <row r="868" spans="1:33" x14ac:dyDescent="0.25">
      <c r="A868" s="85"/>
      <c r="B868" s="86"/>
      <c r="C868" s="87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</row>
    <row r="869" spans="1:33" x14ac:dyDescent="0.25">
      <c r="A869" s="85"/>
      <c r="B869" s="86"/>
      <c r="C869" s="87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</row>
    <row r="870" spans="1:33" x14ac:dyDescent="0.25">
      <c r="A870" s="85"/>
      <c r="B870" s="86"/>
      <c r="C870" s="87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</row>
    <row r="871" spans="1:33" x14ac:dyDescent="0.25">
      <c r="A871" s="85"/>
      <c r="B871" s="86"/>
      <c r="C871" s="87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</row>
    <row r="872" spans="1:33" x14ac:dyDescent="0.25">
      <c r="A872" s="85"/>
      <c r="B872" s="86"/>
      <c r="C872" s="87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</row>
    <row r="873" spans="1:33" x14ac:dyDescent="0.25">
      <c r="A873" s="85"/>
      <c r="B873" s="86"/>
      <c r="C873" s="87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</row>
    <row r="874" spans="1:33" x14ac:dyDescent="0.25">
      <c r="A874" s="85"/>
      <c r="B874" s="86"/>
      <c r="C874" s="87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</row>
    <row r="875" spans="1:33" x14ac:dyDescent="0.25">
      <c r="A875" s="85"/>
      <c r="B875" s="86"/>
      <c r="C875" s="87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</row>
    <row r="876" spans="1:33" x14ac:dyDescent="0.25">
      <c r="A876" s="85"/>
      <c r="B876" s="86"/>
      <c r="C876" s="87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</row>
    <row r="877" spans="1:33" x14ac:dyDescent="0.25">
      <c r="A877" s="85"/>
      <c r="B877" s="86"/>
      <c r="C877" s="87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</row>
    <row r="878" spans="1:33" x14ac:dyDescent="0.25">
      <c r="A878" s="85"/>
      <c r="B878" s="86"/>
      <c r="C878" s="87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</row>
    <row r="879" spans="1:33" x14ac:dyDescent="0.25">
      <c r="A879" s="85"/>
      <c r="B879" s="86"/>
      <c r="C879" s="87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</row>
    <row r="880" spans="1:33" x14ac:dyDescent="0.25">
      <c r="A880" s="85"/>
      <c r="B880" s="86"/>
      <c r="C880" s="87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</row>
    <row r="881" spans="1:33" x14ac:dyDescent="0.25">
      <c r="A881" s="85"/>
      <c r="B881" s="86"/>
      <c r="C881" s="87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</row>
    <row r="882" spans="1:33" x14ac:dyDescent="0.25">
      <c r="A882" s="85"/>
      <c r="B882" s="86"/>
      <c r="C882" s="87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</row>
    <row r="883" spans="1:33" x14ac:dyDescent="0.25">
      <c r="A883" s="85"/>
      <c r="B883" s="86"/>
      <c r="C883" s="87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</row>
    <row r="884" spans="1:33" x14ac:dyDescent="0.25">
      <c r="A884" s="85"/>
      <c r="B884" s="86"/>
      <c r="C884" s="87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</row>
    <row r="885" spans="1:33" x14ac:dyDescent="0.25">
      <c r="A885" s="85"/>
      <c r="B885" s="86"/>
      <c r="C885" s="87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</row>
    <row r="886" spans="1:33" x14ac:dyDescent="0.25">
      <c r="A886" s="85"/>
      <c r="B886" s="86"/>
      <c r="C886" s="87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</row>
    <row r="887" spans="1:33" x14ac:dyDescent="0.25">
      <c r="A887" s="85"/>
      <c r="B887" s="86"/>
      <c r="C887" s="87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</row>
    <row r="888" spans="1:33" x14ac:dyDescent="0.25">
      <c r="A888" s="85"/>
      <c r="B888" s="86"/>
      <c r="C888" s="87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</row>
    <row r="889" spans="1:33" x14ac:dyDescent="0.25">
      <c r="A889" s="85"/>
      <c r="B889" s="86"/>
      <c r="C889" s="87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</row>
    <row r="890" spans="1:33" x14ac:dyDescent="0.25">
      <c r="A890" s="85"/>
      <c r="B890" s="86"/>
      <c r="C890" s="87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</row>
    <row r="891" spans="1:33" x14ac:dyDescent="0.25">
      <c r="A891" s="85"/>
      <c r="B891" s="86"/>
      <c r="C891" s="87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</row>
    <row r="892" spans="1:33" x14ac:dyDescent="0.25">
      <c r="A892" s="85"/>
      <c r="B892" s="86"/>
      <c r="C892" s="87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</row>
    <row r="893" spans="1:33" x14ac:dyDescent="0.25">
      <c r="A893" s="85"/>
      <c r="B893" s="86"/>
      <c r="C893" s="87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</row>
    <row r="894" spans="1:33" x14ac:dyDescent="0.25">
      <c r="A894" s="85"/>
      <c r="B894" s="86"/>
      <c r="C894" s="87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</row>
    <row r="895" spans="1:33" x14ac:dyDescent="0.25">
      <c r="A895" s="85"/>
      <c r="B895" s="86"/>
      <c r="C895" s="87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</row>
    <row r="896" spans="1:33" x14ac:dyDescent="0.25">
      <c r="A896" s="85"/>
      <c r="B896" s="86"/>
      <c r="C896" s="87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</row>
    <row r="897" spans="1:33" x14ac:dyDescent="0.25">
      <c r="A897" s="85"/>
      <c r="B897" s="86"/>
      <c r="C897" s="87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</row>
    <row r="898" spans="1:33" x14ac:dyDescent="0.25">
      <c r="A898" s="85"/>
      <c r="B898" s="86"/>
      <c r="C898" s="87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</row>
    <row r="899" spans="1:33" x14ac:dyDescent="0.25">
      <c r="A899" s="85"/>
      <c r="B899" s="86"/>
      <c r="C899" s="87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</row>
    <row r="900" spans="1:33" x14ac:dyDescent="0.25">
      <c r="A900" s="85"/>
      <c r="B900" s="86"/>
      <c r="C900" s="87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</row>
    <row r="901" spans="1:33" x14ac:dyDescent="0.25">
      <c r="A901" s="85"/>
      <c r="B901" s="86"/>
      <c r="C901" s="87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</row>
    <row r="902" spans="1:33" x14ac:dyDescent="0.25">
      <c r="A902" s="85"/>
      <c r="B902" s="86"/>
      <c r="C902" s="87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</row>
    <row r="903" spans="1:33" x14ac:dyDescent="0.25">
      <c r="A903" s="85"/>
      <c r="B903" s="86"/>
      <c r="C903" s="87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</row>
    <row r="904" spans="1:33" x14ac:dyDescent="0.25">
      <c r="A904" s="85"/>
      <c r="B904" s="86"/>
      <c r="C904" s="87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</row>
    <row r="905" spans="1:33" x14ac:dyDescent="0.25">
      <c r="A905" s="85"/>
      <c r="B905" s="86"/>
      <c r="C905" s="87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</row>
    <row r="906" spans="1:33" x14ac:dyDescent="0.25">
      <c r="A906" s="85"/>
      <c r="B906" s="86"/>
      <c r="C906" s="87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</row>
    <row r="907" spans="1:33" x14ac:dyDescent="0.25">
      <c r="A907" s="85"/>
      <c r="B907" s="86"/>
      <c r="C907" s="87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</row>
    <row r="908" spans="1:33" x14ac:dyDescent="0.25">
      <c r="A908" s="85"/>
      <c r="B908" s="86"/>
      <c r="C908" s="87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</row>
    <row r="909" spans="1:33" x14ac:dyDescent="0.25">
      <c r="A909" s="85"/>
      <c r="B909" s="86"/>
      <c r="C909" s="87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</row>
    <row r="910" spans="1:33" x14ac:dyDescent="0.25">
      <c r="A910" s="85"/>
      <c r="B910" s="86"/>
      <c r="C910" s="87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</row>
    <row r="911" spans="1:33" x14ac:dyDescent="0.25">
      <c r="A911" s="85"/>
      <c r="B911" s="86"/>
      <c r="C911" s="87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</row>
    <row r="912" spans="1:33" x14ac:dyDescent="0.25">
      <c r="A912" s="85"/>
      <c r="B912" s="86"/>
      <c r="C912" s="87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</row>
    <row r="913" spans="1:33" x14ac:dyDescent="0.25">
      <c r="A913" s="85"/>
      <c r="B913" s="86"/>
      <c r="C913" s="87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</row>
    <row r="914" spans="1:33" x14ac:dyDescent="0.25">
      <c r="A914" s="85"/>
      <c r="B914" s="86"/>
      <c r="C914" s="87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</row>
    <row r="915" spans="1:33" x14ac:dyDescent="0.25">
      <c r="A915" s="85"/>
      <c r="B915" s="86"/>
      <c r="C915" s="87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</row>
    <row r="916" spans="1:33" x14ac:dyDescent="0.25">
      <c r="A916" s="85"/>
      <c r="B916" s="86"/>
      <c r="C916" s="87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</row>
    <row r="917" spans="1:33" x14ac:dyDescent="0.25">
      <c r="A917" s="85"/>
      <c r="B917" s="86"/>
      <c r="C917" s="87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</row>
    <row r="918" spans="1:33" x14ac:dyDescent="0.25">
      <c r="A918" s="85"/>
      <c r="B918" s="86"/>
      <c r="C918" s="87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</row>
    <row r="919" spans="1:33" x14ac:dyDescent="0.25">
      <c r="A919" s="85"/>
      <c r="B919" s="86"/>
      <c r="C919" s="87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</row>
    <row r="920" spans="1:33" x14ac:dyDescent="0.25">
      <c r="A920" s="85"/>
      <c r="B920" s="86"/>
      <c r="C920" s="87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</row>
    <row r="921" spans="1:33" x14ac:dyDescent="0.25">
      <c r="A921" s="85"/>
      <c r="B921" s="86"/>
      <c r="C921" s="87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</row>
    <row r="922" spans="1:33" x14ac:dyDescent="0.25">
      <c r="A922" s="85"/>
      <c r="B922" s="86"/>
      <c r="C922" s="87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</row>
    <row r="923" spans="1:33" x14ac:dyDescent="0.25">
      <c r="A923" s="85"/>
      <c r="B923" s="86"/>
      <c r="C923" s="87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</row>
    <row r="924" spans="1:33" x14ac:dyDescent="0.25">
      <c r="A924" s="85"/>
      <c r="B924" s="86"/>
      <c r="C924" s="87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</row>
    <row r="925" spans="1:33" x14ac:dyDescent="0.25">
      <c r="A925" s="85"/>
      <c r="B925" s="86"/>
      <c r="C925" s="87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</row>
    <row r="926" spans="1:33" x14ac:dyDescent="0.25">
      <c r="A926" s="85"/>
      <c r="B926" s="86"/>
      <c r="C926" s="87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</row>
    <row r="927" spans="1:33" x14ac:dyDescent="0.25">
      <c r="A927" s="85"/>
      <c r="B927" s="86"/>
      <c r="C927" s="87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</row>
    <row r="928" spans="1:33" x14ac:dyDescent="0.25">
      <c r="A928" s="85"/>
      <c r="B928" s="86"/>
      <c r="C928" s="87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</row>
    <row r="929" spans="1:33" x14ac:dyDescent="0.25">
      <c r="A929" s="85"/>
      <c r="B929" s="86"/>
      <c r="C929" s="87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</row>
    <row r="930" spans="1:33" x14ac:dyDescent="0.25">
      <c r="A930" s="85"/>
      <c r="B930" s="86"/>
      <c r="C930" s="87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</row>
    <row r="931" spans="1:33" x14ac:dyDescent="0.25">
      <c r="A931" s="85"/>
      <c r="B931" s="86"/>
      <c r="C931" s="87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</row>
    <row r="932" spans="1:33" x14ac:dyDescent="0.25">
      <c r="A932" s="85"/>
      <c r="B932" s="86"/>
      <c r="C932" s="87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</row>
    <row r="933" spans="1:33" x14ac:dyDescent="0.25">
      <c r="A933" s="85"/>
      <c r="B933" s="86"/>
      <c r="C933" s="87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</row>
    <row r="934" spans="1:33" x14ac:dyDescent="0.25">
      <c r="A934" s="85"/>
      <c r="B934" s="86"/>
      <c r="C934" s="87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</row>
    <row r="935" spans="1:33" x14ac:dyDescent="0.25">
      <c r="A935" s="85"/>
      <c r="B935" s="86"/>
      <c r="C935" s="87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</row>
    <row r="936" spans="1:33" x14ac:dyDescent="0.25">
      <c r="A936" s="85"/>
      <c r="B936" s="86"/>
      <c r="C936" s="87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</row>
    <row r="937" spans="1:33" x14ac:dyDescent="0.25">
      <c r="A937" s="85"/>
      <c r="B937" s="86"/>
      <c r="C937" s="87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</row>
    <row r="938" spans="1:33" x14ac:dyDescent="0.25">
      <c r="A938" s="85"/>
      <c r="B938" s="86"/>
      <c r="C938" s="87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</row>
    <row r="939" spans="1:33" x14ac:dyDescent="0.25">
      <c r="A939" s="85"/>
      <c r="B939" s="86"/>
      <c r="C939" s="87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</row>
    <row r="940" spans="1:33" x14ac:dyDescent="0.25">
      <c r="A940" s="85"/>
      <c r="B940" s="86"/>
      <c r="C940" s="87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</row>
    <row r="941" spans="1:33" x14ac:dyDescent="0.25">
      <c r="A941" s="85"/>
      <c r="B941" s="86"/>
      <c r="C941" s="87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</row>
    <row r="942" spans="1:33" x14ac:dyDescent="0.25">
      <c r="A942" s="85"/>
      <c r="B942" s="86"/>
      <c r="C942" s="87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</row>
    <row r="943" spans="1:33" x14ac:dyDescent="0.25">
      <c r="A943" s="85"/>
      <c r="B943" s="86"/>
      <c r="C943" s="87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</row>
    <row r="944" spans="1:33" x14ac:dyDescent="0.25">
      <c r="A944" s="85"/>
      <c r="B944" s="86"/>
      <c r="C944" s="87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</row>
    <row r="945" spans="1:33" x14ac:dyDescent="0.25">
      <c r="A945" s="85"/>
      <c r="B945" s="86"/>
      <c r="C945" s="87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</row>
    <row r="946" spans="1:33" x14ac:dyDescent="0.25">
      <c r="A946" s="85"/>
      <c r="B946" s="86"/>
      <c r="C946" s="87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</row>
    <row r="947" spans="1:33" x14ac:dyDescent="0.25">
      <c r="A947" s="85"/>
      <c r="B947" s="86"/>
      <c r="C947" s="87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</row>
    <row r="948" spans="1:33" x14ac:dyDescent="0.25">
      <c r="A948" s="85"/>
      <c r="B948" s="86"/>
      <c r="C948" s="87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</row>
    <row r="949" spans="1:33" x14ac:dyDescent="0.25">
      <c r="A949" s="85"/>
      <c r="B949" s="86"/>
      <c r="C949" s="87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</row>
    <row r="950" spans="1:33" x14ac:dyDescent="0.25">
      <c r="A950" s="85"/>
      <c r="B950" s="86"/>
      <c r="C950" s="87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</row>
    <row r="951" spans="1:33" x14ac:dyDescent="0.25">
      <c r="A951" s="85"/>
      <c r="B951" s="86"/>
      <c r="C951" s="87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</row>
    <row r="952" spans="1:33" x14ac:dyDescent="0.25">
      <c r="A952" s="85"/>
      <c r="B952" s="86"/>
      <c r="C952" s="87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</row>
    <row r="953" spans="1:33" x14ac:dyDescent="0.25">
      <c r="A953" s="85"/>
      <c r="B953" s="86"/>
      <c r="C953" s="87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</row>
    <row r="954" spans="1:33" x14ac:dyDescent="0.25">
      <c r="A954" s="85"/>
      <c r="B954" s="86"/>
      <c r="C954" s="87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</row>
    <row r="955" spans="1:33" x14ac:dyDescent="0.25">
      <c r="A955" s="85"/>
      <c r="B955" s="86"/>
      <c r="C955" s="87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</row>
    <row r="956" spans="1:33" x14ac:dyDescent="0.25">
      <c r="A956" s="85"/>
      <c r="B956" s="86"/>
      <c r="C956" s="87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</row>
    <row r="957" spans="1:33" x14ac:dyDescent="0.25">
      <c r="A957" s="85"/>
      <c r="B957" s="86"/>
      <c r="C957" s="87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</row>
    <row r="958" spans="1:33" x14ac:dyDescent="0.25">
      <c r="A958" s="85"/>
      <c r="B958" s="86"/>
      <c r="C958" s="87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</row>
    <row r="959" spans="1:33" x14ac:dyDescent="0.25">
      <c r="A959" s="85"/>
      <c r="B959" s="86"/>
      <c r="C959" s="87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</row>
    <row r="960" spans="1:33" x14ac:dyDescent="0.25">
      <c r="A960" s="85"/>
      <c r="B960" s="86"/>
      <c r="C960" s="87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</row>
    <row r="961" spans="1:33" x14ac:dyDescent="0.25">
      <c r="A961" s="85"/>
      <c r="B961" s="86"/>
      <c r="C961" s="87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</row>
    <row r="962" spans="1:33" x14ac:dyDescent="0.25">
      <c r="A962" s="85"/>
      <c r="B962" s="86"/>
      <c r="C962" s="87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</row>
    <row r="963" spans="1:33" x14ac:dyDescent="0.25">
      <c r="A963" s="85"/>
      <c r="B963" s="86"/>
      <c r="C963" s="87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</row>
    <row r="964" spans="1:33" x14ac:dyDescent="0.25">
      <c r="A964" s="85"/>
      <c r="B964" s="86"/>
      <c r="C964" s="87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</row>
    <row r="965" spans="1:33" x14ac:dyDescent="0.25">
      <c r="A965" s="85"/>
      <c r="B965" s="86"/>
      <c r="C965" s="87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</row>
    <row r="966" spans="1:33" x14ac:dyDescent="0.25">
      <c r="A966" s="85"/>
      <c r="B966" s="86"/>
      <c r="C966" s="87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</row>
    <row r="967" spans="1:33" x14ac:dyDescent="0.25">
      <c r="A967" s="85"/>
      <c r="B967" s="86"/>
      <c r="C967" s="87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</row>
    <row r="968" spans="1:33" x14ac:dyDescent="0.25">
      <c r="A968" s="85"/>
      <c r="B968" s="86"/>
      <c r="C968" s="87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</row>
    <row r="969" spans="1:33" x14ac:dyDescent="0.25">
      <c r="A969" s="85"/>
      <c r="B969" s="86"/>
      <c r="C969" s="87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</row>
    <row r="970" spans="1:33" x14ac:dyDescent="0.25">
      <c r="A970" s="85"/>
      <c r="B970" s="86"/>
      <c r="C970" s="87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</row>
    <row r="971" spans="1:33" x14ac:dyDescent="0.25">
      <c r="A971" s="85"/>
      <c r="B971" s="86"/>
      <c r="C971" s="87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</row>
    <row r="972" spans="1:33" x14ac:dyDescent="0.25">
      <c r="A972" s="85"/>
      <c r="B972" s="86"/>
      <c r="C972" s="87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</row>
    <row r="973" spans="1:33" x14ac:dyDescent="0.25">
      <c r="A973" s="85"/>
      <c r="B973" s="86"/>
      <c r="C973" s="87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</row>
    <row r="974" spans="1:33" x14ac:dyDescent="0.25">
      <c r="A974" s="85"/>
      <c r="B974" s="86"/>
      <c r="C974" s="87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</row>
    <row r="975" spans="1:33" x14ac:dyDescent="0.25">
      <c r="A975" s="85"/>
      <c r="B975" s="86"/>
      <c r="C975" s="87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</row>
    <row r="976" spans="1:33" x14ac:dyDescent="0.25">
      <c r="A976" s="85"/>
      <c r="B976" s="86"/>
      <c r="C976" s="87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</row>
    <row r="977" spans="1:33" x14ac:dyDescent="0.25">
      <c r="A977" s="85"/>
      <c r="B977" s="86"/>
      <c r="C977" s="87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</row>
    <row r="978" spans="1:33" x14ac:dyDescent="0.25">
      <c r="A978" s="85"/>
      <c r="B978" s="86"/>
      <c r="C978" s="87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</row>
    <row r="979" spans="1:33" x14ac:dyDescent="0.25">
      <c r="A979" s="85"/>
      <c r="B979" s="86"/>
      <c r="C979" s="87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</row>
    <row r="980" spans="1:33" x14ac:dyDescent="0.25">
      <c r="A980" s="85"/>
      <c r="B980" s="86"/>
      <c r="C980" s="87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</row>
    <row r="981" spans="1:33" x14ac:dyDescent="0.25">
      <c r="A981" s="85"/>
      <c r="B981" s="86"/>
      <c r="C981" s="87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</row>
    <row r="982" spans="1:33" x14ac:dyDescent="0.25">
      <c r="A982" s="85"/>
      <c r="B982" s="86"/>
      <c r="C982" s="87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</row>
    <row r="983" spans="1:33" x14ac:dyDescent="0.25">
      <c r="A983" s="85"/>
      <c r="B983" s="86"/>
      <c r="C983" s="87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</row>
    <row r="984" spans="1:33" x14ac:dyDescent="0.25">
      <c r="A984" s="85"/>
      <c r="B984" s="86"/>
      <c r="C984" s="87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</row>
    <row r="985" spans="1:33" x14ac:dyDescent="0.25">
      <c r="A985" s="85"/>
      <c r="B985" s="86"/>
      <c r="C985" s="87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</row>
    <row r="986" spans="1:33" x14ac:dyDescent="0.25">
      <c r="A986" s="85"/>
      <c r="B986" s="86"/>
      <c r="C986" s="87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</row>
    <row r="987" spans="1:33" x14ac:dyDescent="0.25">
      <c r="A987" s="85"/>
      <c r="B987" s="86"/>
      <c r="C987" s="87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</row>
    <row r="988" spans="1:33" x14ac:dyDescent="0.25">
      <c r="A988" s="85"/>
      <c r="B988" s="86"/>
      <c r="C988" s="87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</row>
    <row r="989" spans="1:33" x14ac:dyDescent="0.25">
      <c r="A989" s="85"/>
      <c r="B989" s="86"/>
      <c r="C989" s="87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</row>
    <row r="990" spans="1:33" x14ac:dyDescent="0.25">
      <c r="A990" s="85"/>
      <c r="B990" s="86"/>
      <c r="C990" s="87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</row>
    <row r="991" spans="1:33" x14ac:dyDescent="0.25">
      <c r="A991" s="85"/>
      <c r="B991" s="86"/>
      <c r="C991" s="87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</row>
    <row r="992" spans="1:33" x14ac:dyDescent="0.25">
      <c r="A992" s="85"/>
      <c r="B992" s="86"/>
      <c r="C992" s="87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</row>
    <row r="993" spans="1:33" x14ac:dyDescent="0.25">
      <c r="A993" s="85"/>
      <c r="B993" s="86"/>
      <c r="C993" s="87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</row>
    <row r="994" spans="1:33" x14ac:dyDescent="0.25">
      <c r="A994" s="85"/>
      <c r="B994" s="86"/>
      <c r="C994" s="87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</row>
    <row r="995" spans="1:33" x14ac:dyDescent="0.25">
      <c r="A995" s="85"/>
      <c r="B995" s="86"/>
      <c r="C995" s="87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</row>
    <row r="996" spans="1:33" x14ac:dyDescent="0.25">
      <c r="A996" s="85"/>
      <c r="B996" s="86"/>
      <c r="C996" s="87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</row>
    <row r="997" spans="1:33" x14ac:dyDescent="0.25">
      <c r="A997" s="85"/>
      <c r="B997" s="86"/>
      <c r="C997" s="87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</row>
    <row r="998" spans="1:33" x14ac:dyDescent="0.25">
      <c r="A998" s="85"/>
      <c r="B998" s="86"/>
      <c r="C998" s="87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</row>
    <row r="999" spans="1:33" x14ac:dyDescent="0.25">
      <c r="A999" s="85"/>
      <c r="B999" s="86"/>
      <c r="C999" s="87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</row>
    <row r="1000" spans="1:33" x14ac:dyDescent="0.25">
      <c r="A1000" s="85"/>
      <c r="B1000" s="86"/>
      <c r="C1000" s="87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</row>
    <row r="1001" spans="1:33" x14ac:dyDescent="0.25">
      <c r="A1001" s="85"/>
      <c r="B1001" s="86"/>
      <c r="C1001" s="87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  <c r="AE1001" s="86"/>
      <c r="AF1001" s="86"/>
      <c r="AG1001" s="86"/>
    </row>
    <row r="1002" spans="1:33" x14ac:dyDescent="0.25">
      <c r="A1002" s="85"/>
      <c r="B1002" s="86"/>
      <c r="C1002" s="87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  <c r="AE1002" s="86"/>
      <c r="AF1002" s="86"/>
      <c r="AG1002" s="86"/>
    </row>
    <row r="1003" spans="1:33" x14ac:dyDescent="0.25">
      <c r="A1003" s="85"/>
      <c r="B1003" s="86"/>
      <c r="C1003" s="87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  <c r="AE1003" s="86"/>
      <c r="AF1003" s="86"/>
      <c r="AG1003" s="86"/>
    </row>
    <row r="1004" spans="1:33" x14ac:dyDescent="0.25">
      <c r="A1004" s="85"/>
      <c r="B1004" s="86"/>
      <c r="C1004" s="87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  <c r="AE1004" s="86"/>
      <c r="AF1004" s="86"/>
      <c r="AG1004" s="86"/>
    </row>
    <row r="1005" spans="1:33" x14ac:dyDescent="0.25">
      <c r="A1005" s="85"/>
      <c r="B1005" s="86"/>
      <c r="C1005" s="87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  <c r="AE1005" s="86"/>
      <c r="AF1005" s="86"/>
      <c r="AG1005" s="86"/>
    </row>
    <row r="1006" spans="1:33" x14ac:dyDescent="0.25">
      <c r="A1006" s="85"/>
      <c r="B1006" s="86"/>
      <c r="C1006" s="87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6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  <c r="AE1006" s="86"/>
      <c r="AF1006" s="86"/>
      <c r="AG1006" s="86"/>
    </row>
    <row r="1007" spans="1:33" x14ac:dyDescent="0.25">
      <c r="A1007" s="85"/>
      <c r="B1007" s="86"/>
      <c r="C1007" s="87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6"/>
      <c r="Q1007" s="86"/>
      <c r="R1007" s="86"/>
      <c r="S1007" s="86"/>
      <c r="T1007" s="86"/>
      <c r="U1007" s="86"/>
      <c r="V1007" s="86"/>
      <c r="W1007" s="86"/>
      <c r="X1007" s="86"/>
      <c r="Y1007" s="86"/>
      <c r="Z1007" s="86"/>
      <c r="AA1007" s="86"/>
      <c r="AB1007" s="86"/>
      <c r="AC1007" s="86"/>
      <c r="AD1007" s="86"/>
      <c r="AE1007" s="86"/>
      <c r="AF1007" s="86"/>
      <c r="AG1007" s="86"/>
    </row>
    <row r="1008" spans="1:33" x14ac:dyDescent="0.25">
      <c r="A1008" s="85"/>
      <c r="B1008" s="86"/>
      <c r="C1008" s="87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6"/>
      <c r="Q1008" s="86"/>
      <c r="R1008" s="86"/>
      <c r="S1008" s="86"/>
      <c r="T1008" s="86"/>
      <c r="U1008" s="86"/>
      <c r="V1008" s="86"/>
      <c r="W1008" s="86"/>
      <c r="X1008" s="86"/>
      <c r="Y1008" s="86"/>
      <c r="Z1008" s="86"/>
      <c r="AA1008" s="86"/>
      <c r="AB1008" s="86"/>
      <c r="AC1008" s="86"/>
      <c r="AD1008" s="86"/>
      <c r="AE1008" s="86"/>
      <c r="AF1008" s="86"/>
      <c r="AG1008" s="86"/>
    </row>
    <row r="1009" spans="1:33" x14ac:dyDescent="0.25">
      <c r="A1009" s="85"/>
      <c r="B1009" s="86"/>
      <c r="C1009" s="87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6"/>
      <c r="Q1009" s="86"/>
      <c r="R1009" s="86"/>
      <c r="S1009" s="86"/>
      <c r="T1009" s="86"/>
      <c r="U1009" s="86"/>
      <c r="V1009" s="86"/>
      <c r="W1009" s="86"/>
      <c r="X1009" s="86"/>
      <c r="Y1009" s="86"/>
      <c r="Z1009" s="86"/>
      <c r="AA1009" s="86"/>
      <c r="AB1009" s="86"/>
      <c r="AC1009" s="86"/>
      <c r="AD1009" s="86"/>
      <c r="AE1009" s="86"/>
      <c r="AF1009" s="86"/>
      <c r="AG1009" s="86"/>
    </row>
    <row r="1010" spans="1:33" x14ac:dyDescent="0.25">
      <c r="A1010" s="85"/>
      <c r="B1010" s="86"/>
      <c r="C1010" s="87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6"/>
      <c r="Q1010" s="86"/>
      <c r="R1010" s="86"/>
      <c r="S1010" s="86"/>
      <c r="T1010" s="86"/>
      <c r="U1010" s="86"/>
      <c r="V1010" s="86"/>
      <c r="W1010" s="86"/>
      <c r="X1010" s="86"/>
      <c r="Y1010" s="86"/>
      <c r="Z1010" s="86"/>
      <c r="AA1010" s="86"/>
      <c r="AB1010" s="86"/>
      <c r="AC1010" s="86"/>
      <c r="AD1010" s="86"/>
      <c r="AE1010" s="86"/>
      <c r="AF1010" s="86"/>
      <c r="AG1010" s="86"/>
    </row>
    <row r="1011" spans="1:33" x14ac:dyDescent="0.25">
      <c r="A1011" s="85"/>
      <c r="B1011" s="86"/>
      <c r="C1011" s="87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6"/>
      <c r="Q1011" s="86"/>
      <c r="R1011" s="86"/>
      <c r="S1011" s="86"/>
      <c r="T1011" s="86"/>
      <c r="U1011" s="86"/>
      <c r="V1011" s="86"/>
      <c r="W1011" s="86"/>
      <c r="X1011" s="86"/>
      <c r="Y1011" s="86"/>
      <c r="Z1011" s="86"/>
      <c r="AA1011" s="86"/>
      <c r="AB1011" s="86"/>
      <c r="AC1011" s="86"/>
      <c r="AD1011" s="86"/>
      <c r="AE1011" s="86"/>
      <c r="AF1011" s="86"/>
      <c r="AG1011" s="86"/>
    </row>
    <row r="1012" spans="1:33" x14ac:dyDescent="0.25">
      <c r="A1012" s="85"/>
      <c r="B1012" s="86"/>
      <c r="C1012" s="87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6"/>
      <c r="Q1012" s="86"/>
      <c r="R1012" s="86"/>
      <c r="S1012" s="86"/>
      <c r="T1012" s="86"/>
      <c r="U1012" s="86"/>
      <c r="V1012" s="86"/>
      <c r="W1012" s="86"/>
      <c r="X1012" s="86"/>
      <c r="Y1012" s="86"/>
      <c r="Z1012" s="86"/>
      <c r="AA1012" s="86"/>
      <c r="AB1012" s="86"/>
      <c r="AC1012" s="86"/>
      <c r="AD1012" s="86"/>
      <c r="AE1012" s="86"/>
      <c r="AF1012" s="86"/>
      <c r="AG1012" s="86"/>
    </row>
    <row r="1013" spans="1:33" x14ac:dyDescent="0.25">
      <c r="A1013" s="85"/>
      <c r="B1013" s="86"/>
      <c r="C1013" s="87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6"/>
      <c r="Q1013" s="86"/>
      <c r="R1013" s="86"/>
      <c r="S1013" s="86"/>
      <c r="T1013" s="86"/>
      <c r="U1013" s="86"/>
      <c r="V1013" s="86"/>
      <c r="W1013" s="86"/>
      <c r="X1013" s="86"/>
      <c r="Y1013" s="86"/>
      <c r="Z1013" s="86"/>
      <c r="AA1013" s="86"/>
      <c r="AB1013" s="86"/>
      <c r="AC1013" s="86"/>
      <c r="AD1013" s="86"/>
      <c r="AE1013" s="86"/>
      <c r="AF1013" s="86"/>
      <c r="AG1013" s="86"/>
    </row>
    <row r="1014" spans="1:33" x14ac:dyDescent="0.25">
      <c r="A1014" s="85"/>
      <c r="B1014" s="86"/>
      <c r="C1014" s="87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6"/>
      <c r="Q1014" s="86"/>
      <c r="R1014" s="86"/>
      <c r="S1014" s="86"/>
      <c r="T1014" s="86"/>
      <c r="U1014" s="86"/>
      <c r="V1014" s="86"/>
      <c r="W1014" s="86"/>
      <c r="X1014" s="86"/>
      <c r="Y1014" s="86"/>
      <c r="Z1014" s="86"/>
      <c r="AA1014" s="86"/>
      <c r="AB1014" s="86"/>
      <c r="AC1014" s="86"/>
      <c r="AD1014" s="86"/>
      <c r="AE1014" s="86"/>
      <c r="AF1014" s="86"/>
      <c r="AG1014" s="86"/>
    </row>
    <row r="1015" spans="1:33" x14ac:dyDescent="0.25">
      <c r="A1015" s="85"/>
      <c r="B1015" s="86"/>
      <c r="C1015" s="87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6"/>
      <c r="Q1015" s="86"/>
      <c r="R1015" s="86"/>
      <c r="S1015" s="86"/>
      <c r="T1015" s="86"/>
      <c r="U1015" s="86"/>
      <c r="V1015" s="86"/>
      <c r="W1015" s="86"/>
      <c r="X1015" s="86"/>
      <c r="Y1015" s="86"/>
      <c r="Z1015" s="86"/>
      <c r="AA1015" s="86"/>
      <c r="AB1015" s="86"/>
      <c r="AC1015" s="86"/>
      <c r="AD1015" s="86"/>
      <c r="AE1015" s="86"/>
      <c r="AF1015" s="86"/>
      <c r="AG1015" s="86"/>
    </row>
    <row r="1016" spans="1:33" x14ac:dyDescent="0.25">
      <c r="A1016" s="85"/>
      <c r="B1016" s="86"/>
      <c r="C1016" s="87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6"/>
      <c r="Q1016" s="86"/>
      <c r="R1016" s="86"/>
      <c r="S1016" s="86"/>
      <c r="T1016" s="86"/>
      <c r="U1016" s="86"/>
      <c r="V1016" s="86"/>
      <c r="W1016" s="86"/>
      <c r="X1016" s="86"/>
      <c r="Y1016" s="86"/>
      <c r="Z1016" s="86"/>
      <c r="AA1016" s="86"/>
      <c r="AB1016" s="86"/>
      <c r="AC1016" s="86"/>
      <c r="AD1016" s="86"/>
      <c r="AE1016" s="86"/>
      <c r="AF1016" s="86"/>
      <c r="AG1016" s="86"/>
    </row>
    <row r="1017" spans="1:33" x14ac:dyDescent="0.25">
      <c r="A1017" s="85"/>
      <c r="B1017" s="86"/>
      <c r="C1017" s="87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6"/>
      <c r="Q1017" s="86"/>
      <c r="R1017" s="86"/>
      <c r="S1017" s="86"/>
      <c r="T1017" s="86"/>
      <c r="U1017" s="86"/>
      <c r="V1017" s="86"/>
      <c r="W1017" s="86"/>
      <c r="X1017" s="86"/>
      <c r="Y1017" s="86"/>
      <c r="Z1017" s="86"/>
      <c r="AA1017" s="86"/>
      <c r="AB1017" s="86"/>
      <c r="AC1017" s="86"/>
      <c r="AD1017" s="86"/>
      <c r="AE1017" s="86"/>
      <c r="AF1017" s="86"/>
      <c r="AG1017" s="86"/>
    </row>
    <row r="1018" spans="1:33" x14ac:dyDescent="0.25">
      <c r="A1018" s="85"/>
      <c r="B1018" s="86"/>
      <c r="C1018" s="87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6"/>
      <c r="Q1018" s="86"/>
      <c r="R1018" s="86"/>
      <c r="S1018" s="86"/>
      <c r="T1018" s="86"/>
      <c r="U1018" s="86"/>
      <c r="V1018" s="86"/>
      <c r="W1018" s="86"/>
      <c r="X1018" s="86"/>
      <c r="Y1018" s="86"/>
      <c r="Z1018" s="86"/>
      <c r="AA1018" s="86"/>
      <c r="AB1018" s="86"/>
      <c r="AC1018" s="86"/>
      <c r="AD1018" s="86"/>
      <c r="AE1018" s="86"/>
      <c r="AF1018" s="86"/>
      <c r="AG1018" s="86"/>
    </row>
    <row r="1019" spans="1:33" x14ac:dyDescent="0.25">
      <c r="A1019" s="85"/>
      <c r="B1019" s="86"/>
      <c r="C1019" s="87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6"/>
      <c r="Q1019" s="86"/>
      <c r="R1019" s="86"/>
      <c r="S1019" s="86"/>
      <c r="T1019" s="86"/>
      <c r="U1019" s="86"/>
      <c r="V1019" s="86"/>
      <c r="W1019" s="86"/>
      <c r="X1019" s="86"/>
      <c r="Y1019" s="86"/>
      <c r="Z1019" s="86"/>
      <c r="AA1019" s="86"/>
      <c r="AB1019" s="86"/>
      <c r="AC1019" s="86"/>
      <c r="AD1019" s="86"/>
      <c r="AE1019" s="86"/>
      <c r="AF1019" s="86"/>
      <c r="AG1019" s="86"/>
    </row>
    <row r="1020" spans="1:33" x14ac:dyDescent="0.25">
      <c r="A1020" s="85"/>
      <c r="B1020" s="86"/>
      <c r="C1020" s="87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6"/>
      <c r="Q1020" s="86"/>
      <c r="R1020" s="86"/>
      <c r="S1020" s="86"/>
      <c r="T1020" s="86"/>
      <c r="U1020" s="86"/>
      <c r="V1020" s="86"/>
      <c r="W1020" s="86"/>
      <c r="X1020" s="86"/>
      <c r="Y1020" s="86"/>
      <c r="Z1020" s="86"/>
      <c r="AA1020" s="86"/>
      <c r="AB1020" s="86"/>
      <c r="AC1020" s="86"/>
      <c r="AD1020" s="86"/>
      <c r="AE1020" s="86"/>
      <c r="AF1020" s="86"/>
      <c r="AG1020" s="86"/>
    </row>
    <row r="1021" spans="1:33" x14ac:dyDescent="0.25">
      <c r="A1021" s="85"/>
      <c r="B1021" s="86"/>
      <c r="C1021" s="87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6"/>
      <c r="Q1021" s="86"/>
      <c r="R1021" s="86"/>
      <c r="S1021" s="86"/>
      <c r="T1021" s="86"/>
      <c r="U1021" s="86"/>
      <c r="V1021" s="86"/>
      <c r="W1021" s="86"/>
      <c r="X1021" s="86"/>
      <c r="Y1021" s="86"/>
      <c r="Z1021" s="86"/>
      <c r="AA1021" s="86"/>
      <c r="AB1021" s="86"/>
      <c r="AC1021" s="86"/>
      <c r="AD1021" s="86"/>
      <c r="AE1021" s="86"/>
      <c r="AF1021" s="86"/>
      <c r="AG1021" s="86"/>
    </row>
    <row r="1022" spans="1:33" x14ac:dyDescent="0.25">
      <c r="A1022" s="85"/>
      <c r="B1022" s="86"/>
      <c r="C1022" s="87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6"/>
      <c r="Q1022" s="86"/>
      <c r="R1022" s="86"/>
      <c r="S1022" s="86"/>
      <c r="T1022" s="86"/>
      <c r="U1022" s="86"/>
      <c r="V1022" s="86"/>
      <c r="W1022" s="86"/>
      <c r="X1022" s="86"/>
      <c r="Y1022" s="86"/>
      <c r="Z1022" s="86"/>
      <c r="AA1022" s="86"/>
      <c r="AB1022" s="86"/>
      <c r="AC1022" s="86"/>
      <c r="AD1022" s="86"/>
      <c r="AE1022" s="86"/>
      <c r="AF1022" s="86"/>
      <c r="AG1022" s="86"/>
    </row>
    <row r="1023" spans="1:33" x14ac:dyDescent="0.25">
      <c r="A1023" s="85"/>
      <c r="B1023" s="86"/>
      <c r="C1023" s="87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6"/>
      <c r="Q1023" s="86"/>
      <c r="R1023" s="86"/>
      <c r="S1023" s="86"/>
      <c r="T1023" s="86"/>
      <c r="U1023" s="86"/>
      <c r="V1023" s="86"/>
      <c r="W1023" s="86"/>
      <c r="X1023" s="86"/>
      <c r="Y1023" s="86"/>
      <c r="Z1023" s="86"/>
      <c r="AA1023" s="86"/>
      <c r="AB1023" s="86"/>
      <c r="AC1023" s="86"/>
      <c r="AD1023" s="86"/>
      <c r="AE1023" s="86"/>
      <c r="AF1023" s="86"/>
      <c r="AG1023" s="86"/>
    </row>
    <row r="1024" spans="1:33" x14ac:dyDescent="0.25">
      <c r="A1024" s="85"/>
      <c r="B1024" s="86"/>
      <c r="C1024" s="87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6"/>
      <c r="Q1024" s="86"/>
      <c r="R1024" s="86"/>
      <c r="S1024" s="86"/>
      <c r="T1024" s="86"/>
      <c r="U1024" s="86"/>
      <c r="V1024" s="86"/>
      <c r="W1024" s="86"/>
      <c r="X1024" s="86"/>
      <c r="Y1024" s="86"/>
      <c r="Z1024" s="86"/>
      <c r="AA1024" s="86"/>
      <c r="AB1024" s="86"/>
      <c r="AC1024" s="86"/>
      <c r="AD1024" s="86"/>
      <c r="AE1024" s="86"/>
      <c r="AF1024" s="86"/>
      <c r="AG1024" s="86"/>
    </row>
    <row r="1025" spans="1:33" x14ac:dyDescent="0.25">
      <c r="A1025" s="85"/>
      <c r="B1025" s="86"/>
      <c r="C1025" s="87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6"/>
      <c r="Q1025" s="86"/>
      <c r="R1025" s="86"/>
      <c r="S1025" s="86"/>
      <c r="T1025" s="86"/>
      <c r="U1025" s="86"/>
      <c r="V1025" s="86"/>
      <c r="W1025" s="86"/>
      <c r="X1025" s="86"/>
      <c r="Y1025" s="86"/>
      <c r="Z1025" s="86"/>
      <c r="AA1025" s="86"/>
      <c r="AB1025" s="86"/>
      <c r="AC1025" s="86"/>
      <c r="AD1025" s="86"/>
      <c r="AE1025" s="86"/>
      <c r="AF1025" s="86"/>
      <c r="AG1025" s="86"/>
    </row>
    <row r="1026" spans="1:33" x14ac:dyDescent="0.25">
      <c r="A1026" s="85"/>
      <c r="B1026" s="86"/>
      <c r="C1026" s="87"/>
      <c r="D1026" s="85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6"/>
      <c r="Q1026" s="86"/>
      <c r="R1026" s="86"/>
      <c r="S1026" s="86"/>
      <c r="T1026" s="86"/>
      <c r="U1026" s="86"/>
      <c r="V1026" s="86"/>
      <c r="W1026" s="86"/>
      <c r="X1026" s="86"/>
      <c r="Y1026" s="86"/>
      <c r="Z1026" s="86"/>
      <c r="AA1026" s="86"/>
      <c r="AB1026" s="86"/>
      <c r="AC1026" s="86"/>
      <c r="AD1026" s="86"/>
      <c r="AE1026" s="86"/>
      <c r="AF1026" s="86"/>
      <c r="AG1026" s="86"/>
    </row>
    <row r="1027" spans="1:33" x14ac:dyDescent="0.25">
      <c r="A1027" s="85"/>
      <c r="B1027" s="86"/>
      <c r="C1027" s="87"/>
      <c r="D1027" s="85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6"/>
      <c r="Q1027" s="86"/>
      <c r="R1027" s="86"/>
      <c r="S1027" s="86"/>
      <c r="T1027" s="86"/>
      <c r="U1027" s="86"/>
      <c r="V1027" s="86"/>
      <c r="W1027" s="86"/>
      <c r="X1027" s="86"/>
      <c r="Y1027" s="86"/>
      <c r="Z1027" s="86"/>
      <c r="AA1027" s="86"/>
      <c r="AB1027" s="86"/>
      <c r="AC1027" s="86"/>
      <c r="AD1027" s="86"/>
      <c r="AE1027" s="86"/>
      <c r="AF1027" s="86"/>
      <c r="AG1027" s="86"/>
    </row>
    <row r="1028" spans="1:33" x14ac:dyDescent="0.25">
      <c r="A1028" s="85"/>
      <c r="B1028" s="86"/>
      <c r="C1028" s="87"/>
      <c r="D1028" s="85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6"/>
      <c r="Q1028" s="86"/>
      <c r="R1028" s="86"/>
      <c r="S1028" s="86"/>
      <c r="T1028" s="86"/>
      <c r="U1028" s="86"/>
      <c r="V1028" s="86"/>
      <c r="W1028" s="86"/>
      <c r="X1028" s="86"/>
      <c r="Y1028" s="86"/>
      <c r="Z1028" s="86"/>
      <c r="AA1028" s="86"/>
      <c r="AB1028" s="86"/>
      <c r="AC1028" s="86"/>
      <c r="AD1028" s="86"/>
      <c r="AE1028" s="86"/>
      <c r="AF1028" s="86"/>
      <c r="AG1028" s="86"/>
    </row>
    <row r="1029" spans="1:33" x14ac:dyDescent="0.25">
      <c r="A1029" s="85"/>
      <c r="B1029" s="86"/>
      <c r="C1029" s="87"/>
      <c r="D1029" s="85"/>
      <c r="E1029" s="85"/>
      <c r="F1029" s="85"/>
      <c r="G1029" s="85"/>
      <c r="H1029" s="85"/>
      <c r="I1029" s="85"/>
      <c r="J1029" s="85"/>
      <c r="K1029" s="85"/>
      <c r="L1029" s="85"/>
      <c r="M1029" s="85"/>
      <c r="N1029" s="85"/>
      <c r="O1029" s="85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</row>
    <row r="1030" spans="1:33" x14ac:dyDescent="0.25">
      <c r="A1030" s="85"/>
      <c r="B1030" s="86"/>
      <c r="C1030" s="87"/>
      <c r="D1030" s="85"/>
      <c r="E1030" s="85"/>
      <c r="F1030" s="85"/>
      <c r="G1030" s="85"/>
      <c r="H1030" s="85"/>
      <c r="I1030" s="85"/>
      <c r="J1030" s="85"/>
      <c r="K1030" s="85"/>
      <c r="L1030" s="85"/>
      <c r="M1030" s="85"/>
      <c r="N1030" s="85"/>
      <c r="O1030" s="85"/>
      <c r="P1030" s="86"/>
      <c r="Q1030" s="86"/>
      <c r="R1030" s="86"/>
      <c r="S1030" s="86"/>
      <c r="T1030" s="86"/>
      <c r="U1030" s="86"/>
      <c r="V1030" s="86"/>
      <c r="W1030" s="86"/>
      <c r="X1030" s="86"/>
      <c r="Y1030" s="86"/>
      <c r="Z1030" s="86"/>
      <c r="AA1030" s="86"/>
      <c r="AB1030" s="86"/>
      <c r="AC1030" s="86"/>
      <c r="AD1030" s="86"/>
      <c r="AE1030" s="86"/>
      <c r="AF1030" s="86"/>
      <c r="AG1030" s="86"/>
    </row>
    <row r="1031" spans="1:33" x14ac:dyDescent="0.25">
      <c r="A1031" s="85"/>
      <c r="B1031" s="86"/>
      <c r="C1031" s="87"/>
      <c r="D1031" s="85"/>
      <c r="E1031" s="85"/>
      <c r="F1031" s="85"/>
      <c r="G1031" s="85"/>
      <c r="H1031" s="85"/>
      <c r="I1031" s="85"/>
      <c r="J1031" s="85"/>
      <c r="K1031" s="85"/>
      <c r="L1031" s="85"/>
      <c r="M1031" s="85"/>
      <c r="N1031" s="85"/>
      <c r="O1031" s="85"/>
      <c r="P1031" s="86"/>
      <c r="Q1031" s="86"/>
      <c r="R1031" s="86"/>
      <c r="S1031" s="86"/>
      <c r="T1031" s="86"/>
      <c r="U1031" s="86"/>
      <c r="V1031" s="86"/>
      <c r="W1031" s="86"/>
      <c r="X1031" s="86"/>
      <c r="Y1031" s="86"/>
      <c r="Z1031" s="86"/>
      <c r="AA1031" s="86"/>
      <c r="AB1031" s="86"/>
      <c r="AC1031" s="86"/>
      <c r="AD1031" s="86"/>
      <c r="AE1031" s="86"/>
      <c r="AF1031" s="86"/>
      <c r="AG1031" s="86"/>
    </row>
    <row r="1032" spans="1:33" x14ac:dyDescent="0.25">
      <c r="A1032" s="85"/>
      <c r="B1032" s="86"/>
      <c r="C1032" s="87"/>
      <c r="D1032" s="85"/>
      <c r="E1032" s="85"/>
      <c r="F1032" s="85"/>
      <c r="G1032" s="85"/>
      <c r="H1032" s="85"/>
      <c r="I1032" s="85"/>
      <c r="J1032" s="85"/>
      <c r="K1032" s="85"/>
      <c r="L1032" s="85"/>
      <c r="M1032" s="85"/>
      <c r="N1032" s="85"/>
      <c r="O1032" s="85"/>
      <c r="P1032" s="86"/>
      <c r="Q1032" s="86"/>
      <c r="R1032" s="86"/>
      <c r="S1032" s="86"/>
      <c r="T1032" s="86"/>
      <c r="U1032" s="86"/>
      <c r="V1032" s="86"/>
      <c r="W1032" s="86"/>
      <c r="X1032" s="86"/>
      <c r="Y1032" s="86"/>
      <c r="Z1032" s="86"/>
      <c r="AA1032" s="86"/>
      <c r="AB1032" s="86"/>
      <c r="AC1032" s="86"/>
      <c r="AD1032" s="86"/>
      <c r="AE1032" s="86"/>
      <c r="AF1032" s="86"/>
      <c r="AG1032" s="86"/>
    </row>
    <row r="1033" spans="1:33" x14ac:dyDescent="0.25">
      <c r="A1033" s="85"/>
      <c r="B1033" s="86"/>
      <c r="C1033" s="87"/>
      <c r="D1033" s="85"/>
      <c r="E1033" s="85"/>
      <c r="F1033" s="85"/>
      <c r="G1033" s="85"/>
      <c r="H1033" s="85"/>
      <c r="I1033" s="85"/>
      <c r="J1033" s="85"/>
      <c r="K1033" s="85"/>
      <c r="L1033" s="85"/>
      <c r="M1033" s="85"/>
      <c r="N1033" s="85"/>
      <c r="O1033" s="85"/>
      <c r="P1033" s="86"/>
      <c r="Q1033" s="86"/>
      <c r="R1033" s="86"/>
      <c r="S1033" s="86"/>
      <c r="T1033" s="86"/>
      <c r="U1033" s="86"/>
      <c r="V1033" s="86"/>
      <c r="W1033" s="86"/>
      <c r="X1033" s="86"/>
      <c r="Y1033" s="86"/>
      <c r="Z1033" s="86"/>
      <c r="AA1033" s="86"/>
      <c r="AB1033" s="86"/>
      <c r="AC1033" s="86"/>
      <c r="AD1033" s="86"/>
      <c r="AE1033" s="86"/>
      <c r="AF1033" s="86"/>
      <c r="AG1033" s="86"/>
    </row>
    <row r="1034" spans="1:33" x14ac:dyDescent="0.25">
      <c r="A1034" s="85"/>
      <c r="B1034" s="86"/>
      <c r="C1034" s="87"/>
      <c r="D1034" s="85"/>
      <c r="E1034" s="85"/>
      <c r="F1034" s="85"/>
      <c r="G1034" s="85"/>
      <c r="H1034" s="85"/>
      <c r="I1034" s="85"/>
      <c r="J1034" s="85"/>
      <c r="K1034" s="85"/>
      <c r="L1034" s="85"/>
      <c r="M1034" s="85"/>
      <c r="N1034" s="85"/>
      <c r="O1034" s="85"/>
      <c r="P1034" s="86"/>
      <c r="Q1034" s="86"/>
      <c r="R1034" s="86"/>
      <c r="S1034" s="86"/>
      <c r="T1034" s="86"/>
      <c r="U1034" s="86"/>
      <c r="V1034" s="86"/>
      <c r="W1034" s="86"/>
      <c r="X1034" s="86"/>
      <c r="Y1034" s="86"/>
      <c r="Z1034" s="86"/>
      <c r="AA1034" s="86"/>
      <c r="AB1034" s="86"/>
      <c r="AC1034" s="86"/>
      <c r="AD1034" s="86"/>
      <c r="AE1034" s="86"/>
      <c r="AF1034" s="86"/>
      <c r="AG1034" s="86"/>
    </row>
    <row r="1035" spans="1:33" x14ac:dyDescent="0.25">
      <c r="A1035" s="85"/>
      <c r="B1035" s="86"/>
      <c r="C1035" s="87"/>
      <c r="D1035" s="85"/>
      <c r="E1035" s="85"/>
      <c r="F1035" s="85"/>
      <c r="G1035" s="85"/>
      <c r="H1035" s="85"/>
      <c r="I1035" s="85"/>
      <c r="J1035" s="85"/>
      <c r="K1035" s="85"/>
      <c r="L1035" s="85"/>
      <c r="M1035" s="85"/>
      <c r="N1035" s="85"/>
      <c r="O1035" s="85"/>
      <c r="P1035" s="86"/>
      <c r="Q1035" s="86"/>
      <c r="R1035" s="86"/>
      <c r="S1035" s="86"/>
      <c r="T1035" s="86"/>
      <c r="U1035" s="86"/>
      <c r="V1035" s="86"/>
      <c r="W1035" s="86"/>
      <c r="X1035" s="86"/>
      <c r="Y1035" s="86"/>
      <c r="Z1035" s="86"/>
      <c r="AA1035" s="86"/>
      <c r="AB1035" s="86"/>
      <c r="AC1035" s="86"/>
      <c r="AD1035" s="86"/>
      <c r="AE1035" s="86"/>
      <c r="AF1035" s="86"/>
      <c r="AG1035" s="86"/>
    </row>
    <row r="1036" spans="1:33" x14ac:dyDescent="0.25">
      <c r="A1036" s="85"/>
      <c r="B1036" s="86"/>
      <c r="C1036" s="87"/>
      <c r="D1036" s="85"/>
      <c r="E1036" s="85"/>
      <c r="F1036" s="85"/>
      <c r="G1036" s="85"/>
      <c r="H1036" s="85"/>
      <c r="I1036" s="85"/>
      <c r="J1036" s="85"/>
      <c r="K1036" s="85"/>
      <c r="L1036" s="85"/>
      <c r="M1036" s="85"/>
      <c r="N1036" s="85"/>
      <c r="O1036" s="85"/>
      <c r="P1036" s="86"/>
      <c r="Q1036" s="86"/>
      <c r="R1036" s="86"/>
      <c r="S1036" s="86"/>
      <c r="T1036" s="86"/>
      <c r="U1036" s="86"/>
      <c r="V1036" s="86"/>
      <c r="W1036" s="86"/>
      <c r="X1036" s="86"/>
      <c r="Y1036" s="86"/>
      <c r="Z1036" s="86"/>
      <c r="AA1036" s="86"/>
      <c r="AB1036" s="86"/>
      <c r="AC1036" s="86"/>
      <c r="AD1036" s="86"/>
      <c r="AE1036" s="86"/>
      <c r="AF1036" s="86"/>
      <c r="AG1036" s="86"/>
    </row>
    <row r="1037" spans="1:33" x14ac:dyDescent="0.25">
      <c r="A1037" s="85"/>
      <c r="B1037" s="86"/>
      <c r="C1037" s="87"/>
      <c r="D1037" s="85"/>
      <c r="E1037" s="85"/>
      <c r="F1037" s="85"/>
      <c r="G1037" s="85"/>
      <c r="H1037" s="85"/>
      <c r="I1037" s="85"/>
      <c r="J1037" s="85"/>
      <c r="K1037" s="85"/>
      <c r="L1037" s="85"/>
      <c r="M1037" s="85"/>
      <c r="N1037" s="85"/>
      <c r="O1037" s="85"/>
      <c r="P1037" s="86"/>
      <c r="Q1037" s="86"/>
      <c r="R1037" s="86"/>
      <c r="S1037" s="86"/>
      <c r="T1037" s="86"/>
      <c r="U1037" s="86"/>
      <c r="V1037" s="86"/>
      <c r="W1037" s="86"/>
      <c r="X1037" s="86"/>
      <c r="Y1037" s="86"/>
      <c r="Z1037" s="86"/>
      <c r="AA1037" s="86"/>
      <c r="AB1037" s="86"/>
      <c r="AC1037" s="86"/>
      <c r="AD1037" s="86"/>
      <c r="AE1037" s="86"/>
      <c r="AF1037" s="86"/>
      <c r="AG1037" s="86"/>
    </row>
    <row r="1038" spans="1:33" x14ac:dyDescent="0.25">
      <c r="A1038" s="85"/>
      <c r="B1038" s="86"/>
      <c r="C1038" s="87"/>
      <c r="D1038" s="85"/>
      <c r="E1038" s="85"/>
      <c r="F1038" s="85"/>
      <c r="G1038" s="85"/>
      <c r="H1038" s="85"/>
      <c r="I1038" s="85"/>
      <c r="J1038" s="85"/>
      <c r="K1038" s="85"/>
      <c r="L1038" s="85"/>
      <c r="M1038" s="85"/>
      <c r="N1038" s="85"/>
      <c r="O1038" s="85"/>
      <c r="P1038" s="86"/>
      <c r="Q1038" s="86"/>
      <c r="R1038" s="86"/>
      <c r="S1038" s="86"/>
      <c r="T1038" s="86"/>
      <c r="U1038" s="86"/>
      <c r="V1038" s="86"/>
      <c r="W1038" s="86"/>
      <c r="X1038" s="86"/>
      <c r="Y1038" s="86"/>
      <c r="Z1038" s="86"/>
      <c r="AA1038" s="86"/>
      <c r="AB1038" s="86"/>
      <c r="AC1038" s="86"/>
      <c r="AD1038" s="86"/>
      <c r="AE1038" s="86"/>
      <c r="AF1038" s="86"/>
      <c r="AG1038" s="86"/>
    </row>
    <row r="1039" spans="1:33" x14ac:dyDescent="0.25">
      <c r="A1039" s="85"/>
      <c r="B1039" s="86"/>
      <c r="C1039" s="87"/>
      <c r="D1039" s="85"/>
      <c r="E1039" s="85"/>
      <c r="F1039" s="85"/>
      <c r="G1039" s="85"/>
      <c r="H1039" s="85"/>
      <c r="I1039" s="85"/>
      <c r="J1039" s="85"/>
      <c r="K1039" s="85"/>
      <c r="L1039" s="85"/>
      <c r="M1039" s="85"/>
      <c r="N1039" s="85"/>
      <c r="O1039" s="85"/>
      <c r="P1039" s="86"/>
      <c r="Q1039" s="86"/>
      <c r="R1039" s="86"/>
      <c r="S1039" s="86"/>
      <c r="T1039" s="86"/>
      <c r="U1039" s="86"/>
      <c r="V1039" s="86"/>
      <c r="W1039" s="86"/>
      <c r="X1039" s="86"/>
      <c r="Y1039" s="86"/>
      <c r="Z1039" s="86"/>
      <c r="AA1039" s="86"/>
      <c r="AB1039" s="86"/>
      <c r="AC1039" s="86"/>
      <c r="AD1039" s="86"/>
      <c r="AE1039" s="86"/>
      <c r="AF1039" s="86"/>
      <c r="AG1039" s="86"/>
    </row>
    <row r="1040" spans="1:33" x14ac:dyDescent="0.25">
      <c r="A1040" s="85"/>
      <c r="B1040" s="86"/>
      <c r="C1040" s="87"/>
      <c r="D1040" s="85"/>
      <c r="E1040" s="85"/>
      <c r="F1040" s="85"/>
      <c r="G1040" s="85"/>
      <c r="H1040" s="85"/>
      <c r="I1040" s="85"/>
      <c r="J1040" s="85"/>
      <c r="K1040" s="85"/>
      <c r="L1040" s="85"/>
      <c r="M1040" s="85"/>
      <c r="N1040" s="85"/>
      <c r="O1040" s="85"/>
      <c r="P1040" s="86"/>
      <c r="Q1040" s="86"/>
      <c r="R1040" s="86"/>
      <c r="S1040" s="86"/>
      <c r="T1040" s="86"/>
      <c r="U1040" s="86"/>
      <c r="V1040" s="86"/>
      <c r="W1040" s="86"/>
      <c r="X1040" s="86"/>
      <c r="Y1040" s="86"/>
      <c r="Z1040" s="86"/>
      <c r="AA1040" s="86"/>
      <c r="AB1040" s="86"/>
      <c r="AC1040" s="86"/>
      <c r="AD1040" s="86"/>
      <c r="AE1040" s="86"/>
      <c r="AF1040" s="86"/>
      <c r="AG1040" s="86"/>
    </row>
    <row r="1041" spans="1:33" x14ac:dyDescent="0.25">
      <c r="A1041" s="85"/>
      <c r="B1041" s="86"/>
      <c r="C1041" s="87"/>
      <c r="D1041" s="85"/>
      <c r="E1041" s="85"/>
      <c r="F1041" s="85"/>
      <c r="G1041" s="85"/>
      <c r="H1041" s="85"/>
      <c r="I1041" s="85"/>
      <c r="J1041" s="85"/>
      <c r="K1041" s="85"/>
      <c r="L1041" s="85"/>
      <c r="M1041" s="85"/>
      <c r="N1041" s="85"/>
      <c r="O1041" s="85"/>
      <c r="P1041" s="86"/>
      <c r="Q1041" s="86"/>
      <c r="R1041" s="86"/>
      <c r="S1041" s="86"/>
      <c r="T1041" s="86"/>
      <c r="U1041" s="86"/>
      <c r="V1041" s="86"/>
      <c r="W1041" s="86"/>
      <c r="X1041" s="86"/>
      <c r="Y1041" s="86"/>
      <c r="Z1041" s="86"/>
      <c r="AA1041" s="86"/>
      <c r="AB1041" s="86"/>
      <c r="AC1041" s="86"/>
      <c r="AD1041" s="86"/>
      <c r="AE1041" s="86"/>
      <c r="AF1041" s="86"/>
      <c r="AG1041" s="86"/>
    </row>
    <row r="1042" spans="1:33" x14ac:dyDescent="0.25">
      <c r="A1042" s="85"/>
      <c r="B1042" s="86"/>
      <c r="C1042" s="87"/>
      <c r="D1042" s="85"/>
      <c r="E1042" s="85"/>
      <c r="F1042" s="85"/>
      <c r="G1042" s="85"/>
      <c r="H1042" s="85"/>
      <c r="I1042" s="85"/>
      <c r="J1042" s="85"/>
      <c r="K1042" s="85"/>
      <c r="L1042" s="85"/>
      <c r="M1042" s="85"/>
      <c r="N1042" s="85"/>
      <c r="O1042" s="85"/>
      <c r="P1042" s="86"/>
      <c r="Q1042" s="86"/>
      <c r="R1042" s="86"/>
      <c r="S1042" s="86"/>
      <c r="T1042" s="86"/>
      <c r="U1042" s="86"/>
      <c r="V1042" s="86"/>
      <c r="W1042" s="86"/>
      <c r="X1042" s="86"/>
      <c r="Y1042" s="86"/>
      <c r="Z1042" s="86"/>
      <c r="AA1042" s="86"/>
      <c r="AB1042" s="86"/>
      <c r="AC1042" s="86"/>
      <c r="AD1042" s="86"/>
      <c r="AE1042" s="86"/>
      <c r="AF1042" s="86"/>
      <c r="AG1042" s="86"/>
    </row>
    <row r="1043" spans="1:33" x14ac:dyDescent="0.25">
      <c r="A1043" s="85"/>
      <c r="B1043" s="86"/>
      <c r="C1043" s="87"/>
      <c r="D1043" s="85"/>
      <c r="E1043" s="85"/>
      <c r="F1043" s="85"/>
      <c r="G1043" s="85"/>
      <c r="H1043" s="85"/>
      <c r="I1043" s="85"/>
      <c r="J1043" s="85"/>
      <c r="K1043" s="85"/>
      <c r="L1043" s="85"/>
      <c r="M1043" s="85"/>
      <c r="N1043" s="85"/>
      <c r="O1043" s="85"/>
      <c r="P1043" s="86"/>
      <c r="Q1043" s="86"/>
      <c r="R1043" s="86"/>
      <c r="S1043" s="86"/>
      <c r="T1043" s="86"/>
      <c r="U1043" s="86"/>
      <c r="V1043" s="86"/>
      <c r="W1043" s="86"/>
      <c r="X1043" s="86"/>
      <c r="Y1043" s="86"/>
      <c r="Z1043" s="86"/>
      <c r="AA1043" s="86"/>
      <c r="AB1043" s="86"/>
      <c r="AC1043" s="86"/>
      <c r="AD1043" s="86"/>
      <c r="AE1043" s="86"/>
      <c r="AF1043" s="86"/>
      <c r="AG1043" s="86"/>
    </row>
    <row r="1044" spans="1:33" x14ac:dyDescent="0.25">
      <c r="A1044" s="85"/>
      <c r="B1044" s="86"/>
      <c r="C1044" s="87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6"/>
      <c r="Q1044" s="86"/>
      <c r="R1044" s="86"/>
      <c r="S1044" s="86"/>
      <c r="T1044" s="86"/>
      <c r="U1044" s="86"/>
      <c r="V1044" s="86"/>
      <c r="W1044" s="86"/>
      <c r="X1044" s="86"/>
      <c r="Y1044" s="86"/>
      <c r="Z1044" s="86"/>
      <c r="AA1044" s="86"/>
      <c r="AB1044" s="86"/>
      <c r="AC1044" s="86"/>
      <c r="AD1044" s="86"/>
      <c r="AE1044" s="86"/>
      <c r="AF1044" s="86"/>
      <c r="AG1044" s="86"/>
    </row>
    <row r="1045" spans="1:33" x14ac:dyDescent="0.25">
      <c r="A1045" s="85"/>
      <c r="B1045" s="86"/>
      <c r="C1045" s="87"/>
      <c r="D1045" s="85"/>
      <c r="E1045" s="85"/>
      <c r="F1045" s="85"/>
      <c r="G1045" s="85"/>
      <c r="H1045" s="85"/>
      <c r="I1045" s="85"/>
      <c r="J1045" s="85"/>
      <c r="K1045" s="85"/>
      <c r="L1045" s="85"/>
      <c r="M1045" s="85"/>
      <c r="N1045" s="85"/>
      <c r="O1045" s="85"/>
      <c r="P1045" s="86"/>
      <c r="Q1045" s="86"/>
      <c r="R1045" s="86"/>
      <c r="S1045" s="86"/>
      <c r="T1045" s="86"/>
      <c r="U1045" s="86"/>
      <c r="V1045" s="86"/>
      <c r="W1045" s="86"/>
      <c r="X1045" s="86"/>
      <c r="Y1045" s="86"/>
      <c r="Z1045" s="86"/>
      <c r="AA1045" s="86"/>
      <c r="AB1045" s="86"/>
      <c r="AC1045" s="86"/>
      <c r="AD1045" s="86"/>
      <c r="AE1045" s="86"/>
      <c r="AF1045" s="86"/>
      <c r="AG1045" s="86"/>
    </row>
    <row r="1046" spans="1:33" x14ac:dyDescent="0.25">
      <c r="A1046" s="85"/>
      <c r="B1046" s="86"/>
      <c r="C1046" s="87"/>
      <c r="D1046" s="85"/>
      <c r="E1046" s="85"/>
      <c r="F1046" s="85"/>
      <c r="G1046" s="85"/>
      <c r="H1046" s="85"/>
      <c r="I1046" s="85"/>
      <c r="J1046" s="85"/>
      <c r="K1046" s="85"/>
      <c r="L1046" s="85"/>
      <c r="M1046" s="85"/>
      <c r="N1046" s="85"/>
      <c r="O1046" s="85"/>
      <c r="P1046" s="86"/>
      <c r="Q1046" s="86"/>
      <c r="R1046" s="86"/>
      <c r="S1046" s="86"/>
      <c r="T1046" s="86"/>
      <c r="U1046" s="86"/>
      <c r="V1046" s="86"/>
      <c r="W1046" s="86"/>
      <c r="X1046" s="86"/>
      <c r="Y1046" s="86"/>
      <c r="Z1046" s="86"/>
      <c r="AA1046" s="86"/>
      <c r="AB1046" s="86"/>
      <c r="AC1046" s="86"/>
      <c r="AD1046" s="86"/>
      <c r="AE1046" s="86"/>
      <c r="AF1046" s="86"/>
      <c r="AG1046" s="86"/>
    </row>
    <row r="1047" spans="1:33" x14ac:dyDescent="0.25">
      <c r="A1047" s="85"/>
      <c r="B1047" s="86"/>
      <c r="C1047" s="87"/>
      <c r="D1047" s="85"/>
      <c r="E1047" s="85"/>
      <c r="F1047" s="85"/>
      <c r="G1047" s="85"/>
      <c r="H1047" s="85"/>
      <c r="I1047" s="85"/>
      <c r="J1047" s="85"/>
      <c r="K1047" s="85"/>
      <c r="L1047" s="85"/>
      <c r="M1047" s="85"/>
      <c r="N1047" s="85"/>
      <c r="O1047" s="85"/>
      <c r="P1047" s="86"/>
      <c r="Q1047" s="86"/>
      <c r="R1047" s="86"/>
      <c r="S1047" s="86"/>
      <c r="T1047" s="86"/>
      <c r="U1047" s="86"/>
      <c r="V1047" s="86"/>
      <c r="W1047" s="86"/>
      <c r="X1047" s="86"/>
      <c r="Y1047" s="86"/>
      <c r="Z1047" s="86"/>
      <c r="AA1047" s="86"/>
      <c r="AB1047" s="86"/>
      <c r="AC1047" s="86"/>
      <c r="AD1047" s="86"/>
      <c r="AE1047" s="86"/>
      <c r="AF1047" s="86"/>
      <c r="AG1047" s="86"/>
    </row>
    <row r="1048" spans="1:33" x14ac:dyDescent="0.25">
      <c r="A1048" s="85"/>
      <c r="B1048" s="86"/>
      <c r="C1048" s="87"/>
      <c r="D1048" s="85"/>
      <c r="E1048" s="85"/>
      <c r="F1048" s="85"/>
      <c r="G1048" s="85"/>
      <c r="H1048" s="85"/>
      <c r="I1048" s="85"/>
      <c r="J1048" s="85"/>
      <c r="K1048" s="85"/>
      <c r="L1048" s="85"/>
      <c r="M1048" s="85"/>
      <c r="N1048" s="85"/>
      <c r="O1048" s="85"/>
      <c r="P1048" s="86"/>
      <c r="Q1048" s="86"/>
      <c r="R1048" s="86"/>
      <c r="S1048" s="86"/>
      <c r="T1048" s="86"/>
      <c r="U1048" s="86"/>
      <c r="V1048" s="86"/>
      <c r="W1048" s="86"/>
      <c r="X1048" s="86"/>
      <c r="Y1048" s="86"/>
      <c r="Z1048" s="86"/>
      <c r="AA1048" s="86"/>
      <c r="AB1048" s="86"/>
      <c r="AC1048" s="86"/>
      <c r="AD1048" s="86"/>
      <c r="AE1048" s="86"/>
      <c r="AF1048" s="86"/>
      <c r="AG1048" s="86"/>
    </row>
  </sheetData>
  <conditionalFormatting sqref="C2:N228">
    <cfRule type="notContainsBlanks" dxfId="1" priority="1">
      <formula>LEN(TRIM(C2))&gt;0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B45D-3C8D-40A0-AF38-1F941EBBFBD6}">
  <dimension ref="A1:AF1065"/>
  <sheetViews>
    <sheetView workbookViewId="0">
      <selection activeCell="N13" sqref="N13"/>
    </sheetView>
  </sheetViews>
  <sheetFormatPr defaultColWidth="12.5703125" defaultRowHeight="15" x14ac:dyDescent="0.25"/>
  <cols>
    <col min="1" max="1" width="32.42578125" customWidth="1"/>
  </cols>
  <sheetData>
    <row r="1" spans="1:32" ht="35.25" customHeight="1" x14ac:dyDescent="0.25">
      <c r="A1" s="90" t="s">
        <v>254</v>
      </c>
      <c r="B1" s="90" t="s">
        <v>255</v>
      </c>
      <c r="C1" s="90" t="s">
        <v>256</v>
      </c>
      <c r="D1" s="90" t="s">
        <v>257</v>
      </c>
      <c r="E1" s="90" t="s">
        <v>258</v>
      </c>
      <c r="F1" s="90" t="s">
        <v>259</v>
      </c>
      <c r="G1" s="90" t="s">
        <v>260</v>
      </c>
      <c r="H1" s="90" t="s">
        <v>298</v>
      </c>
      <c r="I1" s="90" t="s">
        <v>262</v>
      </c>
      <c r="J1" s="90" t="s">
        <v>263</v>
      </c>
      <c r="K1" s="90" t="s">
        <v>299</v>
      </c>
      <c r="L1" s="90" t="s">
        <v>265</v>
      </c>
      <c r="M1" s="90" t="s">
        <v>266</v>
      </c>
      <c r="N1" s="90" t="s">
        <v>267</v>
      </c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</row>
    <row r="2" spans="1:32" x14ac:dyDescent="0.25">
      <c r="A2" s="91" t="s">
        <v>6</v>
      </c>
      <c r="B2" s="92"/>
      <c r="C2" s="92">
        <v>12</v>
      </c>
      <c r="D2" s="92">
        <v>21</v>
      </c>
      <c r="E2" s="92"/>
      <c r="F2" s="92"/>
      <c r="G2" s="92"/>
      <c r="H2" s="92">
        <v>19</v>
      </c>
      <c r="I2" s="92">
        <v>12</v>
      </c>
      <c r="J2" s="92"/>
      <c r="K2" s="92">
        <v>13</v>
      </c>
      <c r="L2" s="92"/>
      <c r="M2" s="92"/>
      <c r="N2" s="92" t="s">
        <v>268</v>
      </c>
      <c r="P2">
        <f>SUM(B2:M2)</f>
        <v>77</v>
      </c>
      <c r="Q2">
        <f>(P2/360)*100</f>
        <v>21.388888888888889</v>
      </c>
      <c r="R2">
        <f>Q2*0.1</f>
        <v>2.1388888888888888</v>
      </c>
    </row>
    <row r="3" spans="1:32" x14ac:dyDescent="0.25">
      <c r="A3" s="91" t="s">
        <v>7</v>
      </c>
      <c r="B3" s="92"/>
      <c r="C3" s="92"/>
      <c r="D3" s="92">
        <v>21</v>
      </c>
      <c r="E3" s="92"/>
      <c r="F3" s="92"/>
      <c r="G3" s="92"/>
      <c r="H3" s="92"/>
      <c r="I3" s="92"/>
      <c r="J3" s="92">
        <v>17</v>
      </c>
      <c r="K3" s="92">
        <v>13</v>
      </c>
      <c r="L3" s="92"/>
      <c r="M3" s="92"/>
      <c r="N3" s="92" t="s">
        <v>268</v>
      </c>
      <c r="O3" s="91" t="s">
        <v>300</v>
      </c>
      <c r="P3">
        <f t="shared" ref="P3:P66" si="0">SUM(B3:M3)</f>
        <v>51</v>
      </c>
      <c r="Q3">
        <f t="shared" ref="Q3:Q66" si="1">(P3/360)*100</f>
        <v>14.166666666666666</v>
      </c>
      <c r="R3">
        <f t="shared" ref="R3:R66" si="2">Q3*0.1</f>
        <v>1.4166666666666667</v>
      </c>
    </row>
    <row r="4" spans="1:32" x14ac:dyDescent="0.25">
      <c r="A4" s="91" t="s">
        <v>8</v>
      </c>
      <c r="B4" s="92"/>
      <c r="C4" s="92"/>
      <c r="D4" s="92"/>
      <c r="E4" s="92"/>
      <c r="F4" s="92">
        <v>15</v>
      </c>
      <c r="G4" s="92">
        <v>16</v>
      </c>
      <c r="H4" s="92">
        <v>25</v>
      </c>
      <c r="I4" s="92">
        <v>14</v>
      </c>
      <c r="J4" s="92"/>
      <c r="K4" s="92">
        <v>13</v>
      </c>
      <c r="L4" s="92"/>
      <c r="M4" s="92"/>
      <c r="N4" s="92" t="s">
        <v>268</v>
      </c>
      <c r="P4">
        <f t="shared" si="0"/>
        <v>83</v>
      </c>
      <c r="Q4">
        <f t="shared" si="1"/>
        <v>23.055555555555557</v>
      </c>
      <c r="R4">
        <f t="shared" si="2"/>
        <v>2.3055555555555558</v>
      </c>
    </row>
    <row r="5" spans="1:32" x14ac:dyDescent="0.25">
      <c r="A5" s="91" t="s">
        <v>9</v>
      </c>
      <c r="B5" s="92">
        <v>11</v>
      </c>
      <c r="C5" s="92">
        <v>11</v>
      </c>
      <c r="D5" s="92">
        <v>24</v>
      </c>
      <c r="E5" s="92">
        <v>10</v>
      </c>
      <c r="F5" s="92">
        <v>14</v>
      </c>
      <c r="G5" s="92">
        <v>10</v>
      </c>
      <c r="H5" s="92">
        <v>17</v>
      </c>
      <c r="I5" s="92">
        <v>11</v>
      </c>
      <c r="J5" s="92">
        <v>19</v>
      </c>
      <c r="K5" s="92">
        <v>3</v>
      </c>
      <c r="L5" s="92">
        <v>23</v>
      </c>
      <c r="M5" s="92">
        <v>22</v>
      </c>
      <c r="N5" s="92" t="s">
        <v>268</v>
      </c>
      <c r="P5">
        <f t="shared" si="0"/>
        <v>175</v>
      </c>
      <c r="Q5">
        <f t="shared" si="1"/>
        <v>48.611111111111107</v>
      </c>
      <c r="R5">
        <f t="shared" si="2"/>
        <v>4.8611111111111107</v>
      </c>
    </row>
    <row r="6" spans="1:32" x14ac:dyDescent="0.25">
      <c r="A6" s="91" t="s">
        <v>301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>
        <v>14</v>
      </c>
      <c r="M6" s="92"/>
      <c r="N6" s="92" t="s">
        <v>268</v>
      </c>
      <c r="P6">
        <f t="shared" si="0"/>
        <v>14</v>
      </c>
      <c r="Q6">
        <f t="shared" si="1"/>
        <v>3.8888888888888888</v>
      </c>
      <c r="R6">
        <f t="shared" si="2"/>
        <v>0.3888888888888889</v>
      </c>
    </row>
    <row r="7" spans="1:32" x14ac:dyDescent="0.25">
      <c r="A7" s="91" t="s">
        <v>11</v>
      </c>
      <c r="B7" s="92">
        <v>14</v>
      </c>
      <c r="C7" s="92">
        <v>4</v>
      </c>
      <c r="D7" s="92">
        <v>21</v>
      </c>
      <c r="E7" s="92"/>
      <c r="F7" s="92">
        <v>13</v>
      </c>
      <c r="G7" s="92"/>
      <c r="H7" s="92"/>
      <c r="I7" s="92"/>
      <c r="J7" s="92"/>
      <c r="K7" s="92"/>
      <c r="L7" s="92"/>
      <c r="M7" s="92"/>
      <c r="N7" s="92" t="s">
        <v>268</v>
      </c>
      <c r="P7">
        <f t="shared" si="0"/>
        <v>52</v>
      </c>
      <c r="Q7">
        <f t="shared" si="1"/>
        <v>14.444444444444443</v>
      </c>
      <c r="R7">
        <f t="shared" si="2"/>
        <v>1.4444444444444444</v>
      </c>
    </row>
    <row r="8" spans="1:32" x14ac:dyDescent="0.25">
      <c r="A8" s="91" t="s">
        <v>12</v>
      </c>
      <c r="B8" s="92"/>
      <c r="C8" s="92"/>
      <c r="D8" s="92"/>
      <c r="E8" s="92"/>
      <c r="F8" s="92"/>
      <c r="G8" s="92"/>
      <c r="H8" s="92">
        <v>28</v>
      </c>
      <c r="I8" s="92"/>
      <c r="J8" s="92"/>
      <c r="K8" s="92"/>
      <c r="L8" s="92"/>
      <c r="M8" s="92"/>
      <c r="N8" s="92" t="s">
        <v>268</v>
      </c>
      <c r="P8">
        <f t="shared" si="0"/>
        <v>28</v>
      </c>
      <c r="Q8">
        <f t="shared" si="1"/>
        <v>7.7777777777777777</v>
      </c>
      <c r="R8">
        <f t="shared" si="2"/>
        <v>0.77777777777777779</v>
      </c>
    </row>
    <row r="9" spans="1:32" x14ac:dyDescent="0.25">
      <c r="A9" s="91" t="s">
        <v>13</v>
      </c>
      <c r="B9" s="93">
        <v>10</v>
      </c>
      <c r="C9" s="92">
        <v>14</v>
      </c>
      <c r="D9" s="92">
        <v>28</v>
      </c>
      <c r="E9" s="93">
        <v>28</v>
      </c>
      <c r="F9" s="92">
        <v>12</v>
      </c>
      <c r="G9" s="92"/>
      <c r="H9" s="92"/>
      <c r="I9" s="92"/>
      <c r="J9" s="92"/>
      <c r="K9" s="92"/>
      <c r="L9" s="92"/>
      <c r="M9" s="92">
        <v>25</v>
      </c>
      <c r="N9" s="92" t="s">
        <v>268</v>
      </c>
      <c r="P9">
        <f t="shared" si="0"/>
        <v>117</v>
      </c>
      <c r="Q9">
        <f t="shared" si="1"/>
        <v>32.5</v>
      </c>
      <c r="R9">
        <f t="shared" si="2"/>
        <v>3.25</v>
      </c>
    </row>
    <row r="10" spans="1:32" x14ac:dyDescent="0.25">
      <c r="A10" s="91" t="s">
        <v>302</v>
      </c>
      <c r="B10" s="92"/>
      <c r="C10" s="92"/>
      <c r="D10" s="92"/>
      <c r="E10" s="92"/>
      <c r="F10" s="92"/>
      <c r="G10" s="92"/>
      <c r="H10" s="92"/>
      <c r="I10" s="92"/>
      <c r="J10" s="92">
        <v>25</v>
      </c>
      <c r="K10" s="92">
        <v>12</v>
      </c>
      <c r="L10" s="92">
        <v>26</v>
      </c>
      <c r="M10" s="92">
        <v>26</v>
      </c>
      <c r="N10" s="92" t="s">
        <v>268</v>
      </c>
      <c r="O10" s="91"/>
      <c r="P10">
        <f t="shared" si="0"/>
        <v>89</v>
      </c>
      <c r="Q10">
        <f t="shared" si="1"/>
        <v>24.722222222222221</v>
      </c>
      <c r="R10">
        <f t="shared" si="2"/>
        <v>2.4722222222222223</v>
      </c>
    </row>
    <row r="11" spans="1:32" x14ac:dyDescent="0.25">
      <c r="A11" s="91" t="s">
        <v>15</v>
      </c>
      <c r="B11" s="92"/>
      <c r="C11" s="92"/>
      <c r="D11" s="92"/>
      <c r="E11" s="92"/>
      <c r="F11" s="92">
        <v>21</v>
      </c>
      <c r="G11" s="92">
        <v>13</v>
      </c>
      <c r="H11" s="92"/>
      <c r="I11" s="92"/>
      <c r="J11" s="92">
        <v>8</v>
      </c>
      <c r="K11" s="92"/>
      <c r="L11" s="92">
        <v>20</v>
      </c>
      <c r="M11" s="92"/>
      <c r="N11" s="92" t="s">
        <v>268</v>
      </c>
      <c r="O11" s="91" t="s">
        <v>303</v>
      </c>
      <c r="P11">
        <f t="shared" si="0"/>
        <v>62</v>
      </c>
      <c r="Q11">
        <f t="shared" si="1"/>
        <v>17.222222222222221</v>
      </c>
      <c r="R11">
        <f t="shared" si="2"/>
        <v>1.7222222222222223</v>
      </c>
    </row>
    <row r="12" spans="1:32" x14ac:dyDescent="0.25">
      <c r="A12" s="91" t="s">
        <v>16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 t="s">
        <v>268</v>
      </c>
      <c r="P12">
        <f t="shared" si="0"/>
        <v>0</v>
      </c>
      <c r="Q12">
        <f t="shared" si="1"/>
        <v>0</v>
      </c>
      <c r="R12">
        <f t="shared" si="2"/>
        <v>0</v>
      </c>
    </row>
    <row r="13" spans="1:32" x14ac:dyDescent="0.25">
      <c r="A13" s="91" t="s">
        <v>17</v>
      </c>
      <c r="B13" s="92"/>
      <c r="C13" s="92"/>
      <c r="D13" s="92">
        <v>17</v>
      </c>
      <c r="E13" s="92"/>
      <c r="F13" s="92"/>
      <c r="G13" s="92"/>
      <c r="H13" s="92"/>
      <c r="I13" s="92"/>
      <c r="J13" s="92"/>
      <c r="K13" s="92"/>
      <c r="L13" s="92">
        <v>16</v>
      </c>
      <c r="M13" s="92">
        <v>22</v>
      </c>
      <c r="N13" s="92" t="s">
        <v>268</v>
      </c>
      <c r="P13">
        <f t="shared" si="0"/>
        <v>55</v>
      </c>
      <c r="Q13">
        <f t="shared" si="1"/>
        <v>15.277777777777779</v>
      </c>
      <c r="R13">
        <f t="shared" si="2"/>
        <v>1.5277777777777779</v>
      </c>
    </row>
    <row r="14" spans="1:32" x14ac:dyDescent="0.25">
      <c r="A14" s="91" t="s">
        <v>18</v>
      </c>
      <c r="B14" s="92">
        <v>19</v>
      </c>
      <c r="C14" s="92">
        <v>18</v>
      </c>
      <c r="D14" s="92">
        <v>21</v>
      </c>
      <c r="E14" s="92">
        <v>16</v>
      </c>
      <c r="F14" s="92">
        <v>18</v>
      </c>
      <c r="G14" s="92">
        <v>20</v>
      </c>
      <c r="H14" s="92">
        <v>24</v>
      </c>
      <c r="I14" s="92">
        <v>18</v>
      </c>
      <c r="J14" s="92">
        <v>18</v>
      </c>
      <c r="K14" s="92">
        <v>9</v>
      </c>
      <c r="L14" s="92">
        <v>22</v>
      </c>
      <c r="M14" s="92">
        <v>26</v>
      </c>
      <c r="N14" s="92" t="s">
        <v>268</v>
      </c>
      <c r="P14">
        <f t="shared" si="0"/>
        <v>229</v>
      </c>
      <c r="Q14">
        <f t="shared" si="1"/>
        <v>63.611111111111107</v>
      </c>
      <c r="R14">
        <f t="shared" si="2"/>
        <v>6.3611111111111107</v>
      </c>
    </row>
    <row r="15" spans="1:32" x14ac:dyDescent="0.25">
      <c r="A15" s="91" t="s">
        <v>19</v>
      </c>
      <c r="B15" s="92"/>
      <c r="C15" s="92"/>
      <c r="D15" s="92">
        <v>23</v>
      </c>
      <c r="E15" s="92">
        <v>14</v>
      </c>
      <c r="F15" s="92"/>
      <c r="G15" s="92"/>
      <c r="H15" s="92">
        <v>27</v>
      </c>
      <c r="I15" s="92"/>
      <c r="J15" s="92"/>
      <c r="K15" s="92">
        <v>10</v>
      </c>
      <c r="L15" s="92">
        <v>17</v>
      </c>
      <c r="M15" s="92">
        <v>20</v>
      </c>
      <c r="N15" s="92" t="s">
        <v>268</v>
      </c>
      <c r="P15">
        <f t="shared" si="0"/>
        <v>111</v>
      </c>
      <c r="Q15">
        <f t="shared" si="1"/>
        <v>30.833333333333336</v>
      </c>
      <c r="R15">
        <f t="shared" si="2"/>
        <v>3.0833333333333339</v>
      </c>
    </row>
    <row r="16" spans="1:32" x14ac:dyDescent="0.25">
      <c r="A16" s="91" t="s">
        <v>20</v>
      </c>
      <c r="B16" s="92"/>
      <c r="C16" s="92"/>
      <c r="D16" s="92"/>
      <c r="E16" s="92"/>
      <c r="F16" s="92">
        <v>14</v>
      </c>
      <c r="G16" s="92">
        <v>8</v>
      </c>
      <c r="H16" s="92">
        <v>26</v>
      </c>
      <c r="I16" s="92"/>
      <c r="J16" s="92">
        <v>10</v>
      </c>
      <c r="K16" s="92">
        <v>8</v>
      </c>
      <c r="L16" s="92"/>
      <c r="M16" s="92">
        <v>21</v>
      </c>
      <c r="N16" s="92" t="s">
        <v>268</v>
      </c>
      <c r="P16">
        <f t="shared" si="0"/>
        <v>87</v>
      </c>
      <c r="Q16">
        <f t="shared" si="1"/>
        <v>24.166666666666668</v>
      </c>
      <c r="R16">
        <f t="shared" si="2"/>
        <v>2.416666666666667</v>
      </c>
    </row>
    <row r="17" spans="1:32" x14ac:dyDescent="0.25">
      <c r="A17" s="91" t="s">
        <v>21</v>
      </c>
      <c r="B17" s="92">
        <v>9</v>
      </c>
      <c r="C17" s="92"/>
      <c r="D17" s="92">
        <v>18</v>
      </c>
      <c r="E17" s="92"/>
      <c r="F17" s="92"/>
      <c r="G17" s="92"/>
      <c r="H17" s="92">
        <v>13</v>
      </c>
      <c r="I17" s="92"/>
      <c r="J17" s="92"/>
      <c r="K17" s="92"/>
      <c r="L17" s="92"/>
      <c r="M17" s="92"/>
      <c r="N17" s="92" t="s">
        <v>268</v>
      </c>
      <c r="P17">
        <f t="shared" si="0"/>
        <v>40</v>
      </c>
      <c r="Q17">
        <f t="shared" si="1"/>
        <v>11.111111111111111</v>
      </c>
      <c r="R17">
        <f t="shared" si="2"/>
        <v>1.1111111111111112</v>
      </c>
    </row>
    <row r="18" spans="1:32" x14ac:dyDescent="0.25">
      <c r="A18" s="91" t="s">
        <v>22</v>
      </c>
      <c r="B18" s="92">
        <v>24</v>
      </c>
      <c r="C18" s="92"/>
      <c r="D18" s="92"/>
      <c r="E18" s="92">
        <v>21</v>
      </c>
      <c r="F18" s="92">
        <v>25</v>
      </c>
      <c r="G18" s="92">
        <v>20</v>
      </c>
      <c r="H18" s="92">
        <v>21</v>
      </c>
      <c r="I18" s="92">
        <v>20</v>
      </c>
      <c r="J18" s="92">
        <v>25</v>
      </c>
      <c r="K18" s="92">
        <v>13</v>
      </c>
      <c r="L18" s="92">
        <v>25</v>
      </c>
      <c r="M18" s="92">
        <v>26</v>
      </c>
      <c r="N18" s="92" t="s">
        <v>268</v>
      </c>
      <c r="P18">
        <f t="shared" si="0"/>
        <v>220</v>
      </c>
      <c r="Q18">
        <f t="shared" si="1"/>
        <v>61.111111111111114</v>
      </c>
      <c r="R18">
        <f t="shared" si="2"/>
        <v>6.1111111111111116</v>
      </c>
    </row>
    <row r="19" spans="1:32" x14ac:dyDescent="0.25">
      <c r="A19" s="91" t="s">
        <v>23</v>
      </c>
      <c r="B19" s="92">
        <v>24</v>
      </c>
      <c r="C19" s="92">
        <v>23</v>
      </c>
      <c r="D19" s="92">
        <v>22</v>
      </c>
      <c r="E19" s="92">
        <v>20</v>
      </c>
      <c r="F19" s="92">
        <v>20</v>
      </c>
      <c r="G19" s="92">
        <v>20</v>
      </c>
      <c r="H19" s="92">
        <v>30</v>
      </c>
      <c r="I19" s="92">
        <v>21</v>
      </c>
      <c r="J19" s="92">
        <v>24</v>
      </c>
      <c r="K19" s="92">
        <v>15</v>
      </c>
      <c r="L19" s="92">
        <v>25</v>
      </c>
      <c r="M19" s="92">
        <v>23</v>
      </c>
      <c r="N19" s="92" t="s">
        <v>268</v>
      </c>
      <c r="P19">
        <f t="shared" si="0"/>
        <v>267</v>
      </c>
      <c r="Q19">
        <f t="shared" si="1"/>
        <v>74.166666666666671</v>
      </c>
      <c r="R19">
        <f t="shared" si="2"/>
        <v>7.4166666666666679</v>
      </c>
    </row>
    <row r="20" spans="1:32" x14ac:dyDescent="0.25">
      <c r="A20" s="91" t="s">
        <v>24</v>
      </c>
      <c r="B20" s="92"/>
      <c r="C20" s="92">
        <v>18</v>
      </c>
      <c r="D20" s="92"/>
      <c r="E20" s="92"/>
      <c r="F20" s="92"/>
      <c r="G20" s="92"/>
      <c r="H20" s="92">
        <v>25</v>
      </c>
      <c r="I20" s="92"/>
      <c r="J20" s="92"/>
      <c r="K20" s="92"/>
      <c r="L20" s="92"/>
      <c r="M20" s="92">
        <v>23</v>
      </c>
      <c r="N20" s="92" t="s">
        <v>268</v>
      </c>
      <c r="P20">
        <f t="shared" si="0"/>
        <v>66</v>
      </c>
      <c r="Q20">
        <f t="shared" si="1"/>
        <v>18.333333333333332</v>
      </c>
      <c r="R20">
        <f t="shared" si="2"/>
        <v>1.8333333333333333</v>
      </c>
    </row>
    <row r="21" spans="1:32" x14ac:dyDescent="0.25">
      <c r="A21" s="91" t="s">
        <v>25</v>
      </c>
      <c r="B21" s="92"/>
      <c r="C21" s="92">
        <v>24</v>
      </c>
      <c r="D21" s="92">
        <v>30</v>
      </c>
      <c r="E21" s="92"/>
      <c r="F21" s="92">
        <v>28</v>
      </c>
      <c r="G21" s="92">
        <v>30</v>
      </c>
      <c r="H21" s="92">
        <v>29</v>
      </c>
      <c r="I21" s="92"/>
      <c r="J21" s="92">
        <v>23</v>
      </c>
      <c r="K21" s="92"/>
      <c r="L21" s="92">
        <v>30</v>
      </c>
      <c r="M21" s="92"/>
      <c r="N21" s="92" t="s">
        <v>268</v>
      </c>
      <c r="P21">
        <f t="shared" si="0"/>
        <v>194</v>
      </c>
      <c r="Q21">
        <f t="shared" si="1"/>
        <v>53.888888888888886</v>
      </c>
      <c r="R21">
        <f t="shared" si="2"/>
        <v>5.3888888888888893</v>
      </c>
    </row>
    <row r="22" spans="1:32" x14ac:dyDescent="0.25">
      <c r="A22" s="91" t="s">
        <v>26</v>
      </c>
      <c r="B22" s="92">
        <v>15</v>
      </c>
      <c r="C22" s="92">
        <v>24</v>
      </c>
      <c r="D22" s="92">
        <v>20</v>
      </c>
      <c r="E22" s="92">
        <v>15</v>
      </c>
      <c r="F22" s="92">
        <v>16</v>
      </c>
      <c r="G22" s="92">
        <v>13</v>
      </c>
      <c r="H22" s="92">
        <v>22</v>
      </c>
      <c r="I22" s="92">
        <v>13</v>
      </c>
      <c r="J22" s="92">
        <v>16</v>
      </c>
      <c r="K22" s="92"/>
      <c r="L22" s="92">
        <v>24</v>
      </c>
      <c r="M22" s="92">
        <v>29</v>
      </c>
      <c r="N22" s="92" t="s">
        <v>268</v>
      </c>
      <c r="P22">
        <f t="shared" si="0"/>
        <v>207</v>
      </c>
      <c r="Q22">
        <f t="shared" si="1"/>
        <v>57.499999999999993</v>
      </c>
      <c r="R22">
        <f t="shared" si="2"/>
        <v>5.75</v>
      </c>
    </row>
    <row r="23" spans="1:32" x14ac:dyDescent="0.25">
      <c r="A23" s="91" t="s">
        <v>27</v>
      </c>
      <c r="B23" s="92"/>
      <c r="C23" s="92">
        <v>22</v>
      </c>
      <c r="D23" s="92"/>
      <c r="E23" s="92"/>
      <c r="F23" s="92">
        <v>14</v>
      </c>
      <c r="G23" s="92"/>
      <c r="H23" s="92">
        <v>18</v>
      </c>
      <c r="I23" s="92"/>
      <c r="J23" s="92"/>
      <c r="K23" s="92"/>
      <c r="L23" s="92"/>
      <c r="M23" s="92"/>
      <c r="N23" s="92" t="s">
        <v>268</v>
      </c>
      <c r="P23">
        <f t="shared" si="0"/>
        <v>54</v>
      </c>
      <c r="Q23">
        <f t="shared" si="1"/>
        <v>15</v>
      </c>
      <c r="R23">
        <f t="shared" si="2"/>
        <v>1.5</v>
      </c>
    </row>
    <row r="24" spans="1:32" x14ac:dyDescent="0.25">
      <c r="A24" s="91" t="s">
        <v>28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 t="s">
        <v>268</v>
      </c>
      <c r="P24">
        <f t="shared" si="0"/>
        <v>0</v>
      </c>
      <c r="Q24">
        <f t="shared" si="1"/>
        <v>0</v>
      </c>
      <c r="R24">
        <f t="shared" si="2"/>
        <v>0</v>
      </c>
    </row>
    <row r="25" spans="1:32" x14ac:dyDescent="0.25">
      <c r="A25" s="91" t="s">
        <v>29</v>
      </c>
      <c r="B25" s="93">
        <v>13</v>
      </c>
      <c r="C25" s="92"/>
      <c r="D25" s="92"/>
      <c r="E25" s="92"/>
      <c r="F25" s="92"/>
      <c r="G25" s="92"/>
      <c r="H25" s="92"/>
      <c r="I25" s="92"/>
      <c r="J25" s="92">
        <v>19</v>
      </c>
      <c r="K25" s="92">
        <v>15</v>
      </c>
      <c r="L25" s="92">
        <v>20</v>
      </c>
      <c r="M25" s="92">
        <v>25</v>
      </c>
      <c r="N25" s="92" t="s">
        <v>268</v>
      </c>
      <c r="P25">
        <f t="shared" si="0"/>
        <v>92</v>
      </c>
      <c r="Q25">
        <f t="shared" si="1"/>
        <v>25.555555555555554</v>
      </c>
      <c r="R25">
        <f t="shared" si="2"/>
        <v>2.5555555555555554</v>
      </c>
    </row>
    <row r="26" spans="1:32" x14ac:dyDescent="0.25">
      <c r="A26" s="91" t="s">
        <v>30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 t="s">
        <v>268</v>
      </c>
      <c r="P26">
        <f t="shared" si="0"/>
        <v>0</v>
      </c>
      <c r="Q26">
        <f t="shared" si="1"/>
        <v>0</v>
      </c>
      <c r="R26">
        <f t="shared" si="2"/>
        <v>0</v>
      </c>
    </row>
    <row r="27" spans="1:32" x14ac:dyDescent="0.25">
      <c r="A27" s="91" t="s">
        <v>31</v>
      </c>
      <c r="B27" s="92">
        <v>14</v>
      </c>
      <c r="C27" s="92">
        <v>17</v>
      </c>
      <c r="D27" s="92">
        <v>23</v>
      </c>
      <c r="E27" s="92">
        <v>18</v>
      </c>
      <c r="F27" s="92">
        <v>14</v>
      </c>
      <c r="G27" s="92">
        <v>8</v>
      </c>
      <c r="H27" s="92">
        <v>15</v>
      </c>
      <c r="I27" s="92">
        <v>12</v>
      </c>
      <c r="J27" s="92">
        <v>12</v>
      </c>
      <c r="K27" s="92">
        <v>14</v>
      </c>
      <c r="L27" s="92">
        <v>20</v>
      </c>
      <c r="M27" s="92">
        <v>27</v>
      </c>
      <c r="N27" s="92" t="s">
        <v>268</v>
      </c>
      <c r="P27">
        <f t="shared" si="0"/>
        <v>194</v>
      </c>
      <c r="Q27">
        <f t="shared" si="1"/>
        <v>53.888888888888886</v>
      </c>
      <c r="R27">
        <f t="shared" si="2"/>
        <v>5.3888888888888893</v>
      </c>
    </row>
    <row r="28" spans="1:32" x14ac:dyDescent="0.25">
      <c r="A28" s="91" t="s">
        <v>32</v>
      </c>
      <c r="B28" s="92">
        <v>19</v>
      </c>
      <c r="C28" s="92">
        <v>27</v>
      </c>
      <c r="D28" s="92">
        <v>25</v>
      </c>
      <c r="E28" s="92">
        <v>23</v>
      </c>
      <c r="F28" s="92">
        <v>18</v>
      </c>
      <c r="G28" s="92">
        <v>22</v>
      </c>
      <c r="H28" s="92">
        <v>22</v>
      </c>
      <c r="I28" s="92">
        <v>20</v>
      </c>
      <c r="J28" s="92">
        <v>21</v>
      </c>
      <c r="K28" s="92">
        <v>15</v>
      </c>
      <c r="L28" s="92">
        <v>19</v>
      </c>
      <c r="M28" s="92">
        <v>26</v>
      </c>
      <c r="N28" s="92" t="s">
        <v>268</v>
      </c>
      <c r="P28">
        <f t="shared" si="0"/>
        <v>257</v>
      </c>
      <c r="Q28">
        <f t="shared" si="1"/>
        <v>71.388888888888886</v>
      </c>
      <c r="R28">
        <f t="shared" si="2"/>
        <v>7.1388888888888893</v>
      </c>
    </row>
    <row r="29" spans="1:32" x14ac:dyDescent="0.25">
      <c r="A29" s="91" t="s">
        <v>33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 t="s">
        <v>268</v>
      </c>
      <c r="P29">
        <f t="shared" si="0"/>
        <v>0</v>
      </c>
      <c r="Q29">
        <f t="shared" si="1"/>
        <v>0</v>
      </c>
      <c r="R29">
        <f t="shared" si="2"/>
        <v>0</v>
      </c>
    </row>
    <row r="30" spans="1:32" x14ac:dyDescent="0.25">
      <c r="A30" s="94" t="s">
        <v>34</v>
      </c>
      <c r="B30" s="93">
        <v>7</v>
      </c>
      <c r="C30" s="93"/>
      <c r="D30" s="93"/>
      <c r="E30" s="93"/>
      <c r="F30" s="93"/>
      <c r="G30" s="93"/>
      <c r="H30" s="93"/>
      <c r="I30" s="93"/>
      <c r="J30" s="93"/>
      <c r="K30" s="93">
        <v>9</v>
      </c>
      <c r="L30" s="93">
        <v>18</v>
      </c>
      <c r="M30" s="93"/>
      <c r="N30" s="93" t="s">
        <v>268</v>
      </c>
      <c r="O30" s="94"/>
      <c r="P30">
        <f t="shared" si="0"/>
        <v>34</v>
      </c>
      <c r="Q30">
        <f t="shared" si="1"/>
        <v>9.4444444444444446</v>
      </c>
      <c r="R30">
        <f t="shared" si="2"/>
        <v>0.94444444444444453</v>
      </c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</row>
    <row r="31" spans="1:32" x14ac:dyDescent="0.25">
      <c r="A31" s="91" t="s">
        <v>35</v>
      </c>
      <c r="B31" s="92"/>
      <c r="C31" s="92"/>
      <c r="D31" s="92">
        <v>13</v>
      </c>
      <c r="E31" s="92"/>
      <c r="F31" s="92"/>
      <c r="G31" s="92"/>
      <c r="H31" s="92"/>
      <c r="I31" s="92"/>
      <c r="J31" s="92"/>
      <c r="K31" s="92"/>
      <c r="L31" s="92"/>
      <c r="M31" s="92"/>
      <c r="N31" s="92" t="s">
        <v>268</v>
      </c>
      <c r="P31">
        <f t="shared" si="0"/>
        <v>13</v>
      </c>
      <c r="Q31">
        <f t="shared" si="1"/>
        <v>3.6111111111111107</v>
      </c>
      <c r="R31">
        <f t="shared" si="2"/>
        <v>0.3611111111111111</v>
      </c>
    </row>
    <row r="32" spans="1:32" x14ac:dyDescent="0.25">
      <c r="A32" s="91" t="s">
        <v>36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 t="s">
        <v>268</v>
      </c>
      <c r="P32">
        <f t="shared" si="0"/>
        <v>0</v>
      </c>
      <c r="Q32">
        <f t="shared" si="1"/>
        <v>0</v>
      </c>
      <c r="R32">
        <f t="shared" si="2"/>
        <v>0</v>
      </c>
    </row>
    <row r="33" spans="1:32" x14ac:dyDescent="0.25">
      <c r="A33" s="91" t="s">
        <v>37</v>
      </c>
      <c r="B33" s="92">
        <v>15</v>
      </c>
      <c r="C33" s="92">
        <v>26</v>
      </c>
      <c r="D33" s="92">
        <v>26</v>
      </c>
      <c r="E33" s="92">
        <v>15</v>
      </c>
      <c r="F33" s="92">
        <v>12</v>
      </c>
      <c r="G33" s="92"/>
      <c r="H33" s="92">
        <v>22</v>
      </c>
      <c r="I33" s="92">
        <v>17</v>
      </c>
      <c r="J33" s="92">
        <v>16</v>
      </c>
      <c r="K33" s="92">
        <v>13</v>
      </c>
      <c r="L33" s="92"/>
      <c r="M33" s="92">
        <v>21</v>
      </c>
      <c r="N33" s="92" t="s">
        <v>268</v>
      </c>
      <c r="P33">
        <f t="shared" si="0"/>
        <v>183</v>
      </c>
      <c r="Q33">
        <f t="shared" si="1"/>
        <v>50.833333333333329</v>
      </c>
      <c r="R33">
        <f t="shared" si="2"/>
        <v>5.083333333333333</v>
      </c>
    </row>
    <row r="34" spans="1:32" x14ac:dyDescent="0.25">
      <c r="A34" s="91" t="s">
        <v>38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 t="s">
        <v>268</v>
      </c>
      <c r="P34">
        <f t="shared" si="0"/>
        <v>0</v>
      </c>
      <c r="Q34">
        <f t="shared" si="1"/>
        <v>0</v>
      </c>
      <c r="R34">
        <f t="shared" si="2"/>
        <v>0</v>
      </c>
    </row>
    <row r="35" spans="1:32" x14ac:dyDescent="0.25">
      <c r="A35" s="91" t="s">
        <v>39</v>
      </c>
      <c r="B35" s="92"/>
      <c r="C35" s="92">
        <v>10</v>
      </c>
      <c r="D35" s="92">
        <v>28</v>
      </c>
      <c r="E35" s="92"/>
      <c r="F35" s="92"/>
      <c r="G35" s="92"/>
      <c r="H35" s="92">
        <v>19</v>
      </c>
      <c r="I35" s="92">
        <v>14</v>
      </c>
      <c r="J35" s="92">
        <v>14</v>
      </c>
      <c r="K35" s="92">
        <v>9</v>
      </c>
      <c r="L35" s="92"/>
      <c r="M35" s="92"/>
      <c r="N35" s="92" t="s">
        <v>268</v>
      </c>
      <c r="P35">
        <f t="shared" si="0"/>
        <v>94</v>
      </c>
      <c r="Q35">
        <f t="shared" si="1"/>
        <v>26.111111111111114</v>
      </c>
      <c r="R35">
        <f t="shared" si="2"/>
        <v>2.6111111111111116</v>
      </c>
    </row>
    <row r="36" spans="1:32" x14ac:dyDescent="0.25">
      <c r="A36" s="91" t="s">
        <v>40</v>
      </c>
      <c r="B36" s="92"/>
      <c r="C36" s="92"/>
      <c r="D36" s="92"/>
      <c r="E36" s="92"/>
      <c r="F36" s="92">
        <v>18</v>
      </c>
      <c r="G36" s="92"/>
      <c r="H36" s="92"/>
      <c r="I36" s="92"/>
      <c r="J36" s="92"/>
      <c r="K36" s="92"/>
      <c r="L36" s="92"/>
      <c r="M36" s="92"/>
      <c r="N36" s="92" t="s">
        <v>268</v>
      </c>
      <c r="P36">
        <f t="shared" si="0"/>
        <v>18</v>
      </c>
      <c r="Q36">
        <f t="shared" si="1"/>
        <v>5</v>
      </c>
      <c r="R36">
        <f t="shared" si="2"/>
        <v>0.5</v>
      </c>
    </row>
    <row r="37" spans="1:32" x14ac:dyDescent="0.25">
      <c r="A37" s="94" t="s">
        <v>304</v>
      </c>
      <c r="B37" s="93">
        <v>17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 t="s">
        <v>268</v>
      </c>
      <c r="O37" s="94"/>
      <c r="P37">
        <f t="shared" si="0"/>
        <v>17</v>
      </c>
      <c r="Q37">
        <f t="shared" si="1"/>
        <v>4.7222222222222223</v>
      </c>
      <c r="R37">
        <f t="shared" si="2"/>
        <v>0.47222222222222227</v>
      </c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</row>
    <row r="38" spans="1:32" x14ac:dyDescent="0.25">
      <c r="A38" s="91" t="s">
        <v>42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 t="s">
        <v>268</v>
      </c>
      <c r="P38">
        <f t="shared" si="0"/>
        <v>0</v>
      </c>
      <c r="Q38">
        <f t="shared" si="1"/>
        <v>0</v>
      </c>
      <c r="R38">
        <f t="shared" si="2"/>
        <v>0</v>
      </c>
    </row>
    <row r="39" spans="1:32" x14ac:dyDescent="0.25">
      <c r="A39" s="91" t="s">
        <v>43</v>
      </c>
      <c r="B39" s="92"/>
      <c r="C39" s="92">
        <v>21</v>
      </c>
      <c r="D39" s="92">
        <v>22</v>
      </c>
      <c r="E39" s="92"/>
      <c r="F39" s="92">
        <v>13</v>
      </c>
      <c r="G39" s="92"/>
      <c r="H39" s="92"/>
      <c r="I39" s="92"/>
      <c r="J39" s="92"/>
      <c r="K39" s="92"/>
      <c r="L39" s="92">
        <v>21</v>
      </c>
      <c r="M39" s="92">
        <v>23</v>
      </c>
      <c r="N39" s="92" t="s">
        <v>268</v>
      </c>
      <c r="P39">
        <f t="shared" si="0"/>
        <v>100</v>
      </c>
      <c r="Q39">
        <f t="shared" si="1"/>
        <v>27.777777777777779</v>
      </c>
      <c r="R39">
        <f t="shared" si="2"/>
        <v>2.7777777777777781</v>
      </c>
    </row>
    <row r="40" spans="1:32" x14ac:dyDescent="0.25">
      <c r="A40" s="91" t="s">
        <v>44</v>
      </c>
      <c r="B40" s="92"/>
      <c r="C40" s="92"/>
      <c r="D40" s="92"/>
      <c r="E40" s="92"/>
      <c r="F40" s="92">
        <v>21</v>
      </c>
      <c r="G40" s="92"/>
      <c r="H40" s="92"/>
      <c r="I40" s="92">
        <v>13</v>
      </c>
      <c r="J40" s="92"/>
      <c r="K40" s="92"/>
      <c r="L40" s="92">
        <v>20</v>
      </c>
      <c r="M40" s="92"/>
      <c r="N40" s="92" t="s">
        <v>268</v>
      </c>
      <c r="P40">
        <f t="shared" si="0"/>
        <v>54</v>
      </c>
      <c r="Q40">
        <f t="shared" si="1"/>
        <v>15</v>
      </c>
      <c r="R40">
        <f t="shared" si="2"/>
        <v>1.5</v>
      </c>
    </row>
    <row r="41" spans="1:32" x14ac:dyDescent="0.25">
      <c r="A41" s="91" t="s">
        <v>45</v>
      </c>
      <c r="B41" s="92">
        <v>23</v>
      </c>
      <c r="C41" s="92">
        <v>25</v>
      </c>
      <c r="D41" s="92"/>
      <c r="E41" s="92"/>
      <c r="F41" s="92">
        <v>6</v>
      </c>
      <c r="G41" s="92">
        <v>29</v>
      </c>
      <c r="H41" s="92">
        <v>13</v>
      </c>
      <c r="I41" s="92">
        <v>13</v>
      </c>
      <c r="J41" s="92">
        <v>11</v>
      </c>
      <c r="K41" s="92">
        <v>11</v>
      </c>
      <c r="L41" s="92">
        <v>15</v>
      </c>
      <c r="M41" s="92">
        <v>22</v>
      </c>
      <c r="N41" s="92" t="s">
        <v>268</v>
      </c>
      <c r="P41">
        <f t="shared" si="0"/>
        <v>168</v>
      </c>
      <c r="Q41">
        <f t="shared" si="1"/>
        <v>46.666666666666664</v>
      </c>
      <c r="R41">
        <f t="shared" si="2"/>
        <v>4.666666666666667</v>
      </c>
    </row>
    <row r="42" spans="1:32" x14ac:dyDescent="0.25">
      <c r="A42" s="91" t="s">
        <v>46</v>
      </c>
      <c r="B42" s="93">
        <v>7</v>
      </c>
      <c r="C42" s="92">
        <v>14</v>
      </c>
      <c r="D42" s="92">
        <v>21</v>
      </c>
      <c r="E42" s="92"/>
      <c r="F42" s="92">
        <v>12</v>
      </c>
      <c r="G42" s="92">
        <v>15</v>
      </c>
      <c r="H42" s="92">
        <v>21</v>
      </c>
      <c r="I42" s="92">
        <v>15</v>
      </c>
      <c r="J42" s="92">
        <v>12</v>
      </c>
      <c r="K42" s="92">
        <v>11</v>
      </c>
      <c r="L42" s="92"/>
      <c r="M42" s="92">
        <v>21</v>
      </c>
      <c r="N42" s="92" t="s">
        <v>268</v>
      </c>
      <c r="P42">
        <f t="shared" si="0"/>
        <v>149</v>
      </c>
      <c r="Q42">
        <f t="shared" si="1"/>
        <v>41.388888888888886</v>
      </c>
      <c r="R42">
        <f t="shared" si="2"/>
        <v>4.1388888888888884</v>
      </c>
    </row>
    <row r="43" spans="1:32" x14ac:dyDescent="0.25">
      <c r="A43" s="91" t="s">
        <v>47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 t="s">
        <v>268</v>
      </c>
      <c r="P43">
        <f t="shared" si="0"/>
        <v>0</v>
      </c>
      <c r="Q43">
        <f t="shared" si="1"/>
        <v>0</v>
      </c>
      <c r="R43">
        <f t="shared" si="2"/>
        <v>0</v>
      </c>
    </row>
    <row r="44" spans="1:32" x14ac:dyDescent="0.25">
      <c r="A44" s="91" t="s">
        <v>48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>
        <v>24</v>
      </c>
      <c r="M44" s="92"/>
      <c r="N44" s="92" t="s">
        <v>268</v>
      </c>
      <c r="P44">
        <f t="shared" si="0"/>
        <v>24</v>
      </c>
      <c r="Q44">
        <f t="shared" si="1"/>
        <v>6.666666666666667</v>
      </c>
      <c r="R44">
        <f t="shared" si="2"/>
        <v>0.66666666666666674</v>
      </c>
    </row>
    <row r="45" spans="1:32" x14ac:dyDescent="0.25">
      <c r="A45" s="91" t="s">
        <v>49</v>
      </c>
      <c r="B45" s="92">
        <v>11</v>
      </c>
      <c r="C45" s="92">
        <v>10</v>
      </c>
      <c r="D45" s="92">
        <v>22</v>
      </c>
      <c r="E45" s="92">
        <v>13</v>
      </c>
      <c r="F45" s="92">
        <v>15</v>
      </c>
      <c r="G45" s="92">
        <v>15</v>
      </c>
      <c r="H45" s="92">
        <v>23</v>
      </c>
      <c r="I45" s="92">
        <v>13</v>
      </c>
      <c r="J45" s="92"/>
      <c r="K45" s="92"/>
      <c r="L45" s="92">
        <v>18</v>
      </c>
      <c r="M45" s="92">
        <v>24</v>
      </c>
      <c r="N45" s="92" t="s">
        <v>268</v>
      </c>
      <c r="P45">
        <f t="shared" si="0"/>
        <v>164</v>
      </c>
      <c r="Q45">
        <f t="shared" si="1"/>
        <v>45.555555555555557</v>
      </c>
      <c r="R45">
        <f t="shared" si="2"/>
        <v>4.5555555555555562</v>
      </c>
    </row>
    <row r="46" spans="1:32" x14ac:dyDescent="0.25">
      <c r="A46" s="91" t="s">
        <v>50</v>
      </c>
      <c r="B46" s="92"/>
      <c r="C46" s="92"/>
      <c r="D46" s="92"/>
      <c r="E46" s="92">
        <v>21</v>
      </c>
      <c r="F46" s="92"/>
      <c r="G46" s="92"/>
      <c r="H46" s="92">
        <v>22</v>
      </c>
      <c r="I46" s="92">
        <v>19</v>
      </c>
      <c r="J46" s="92">
        <v>25</v>
      </c>
      <c r="K46" s="92">
        <v>14</v>
      </c>
      <c r="L46" s="92">
        <v>22</v>
      </c>
      <c r="M46" s="92"/>
      <c r="N46" s="92" t="s">
        <v>268</v>
      </c>
      <c r="P46">
        <f t="shared" si="0"/>
        <v>123</v>
      </c>
      <c r="Q46">
        <f t="shared" si="1"/>
        <v>34.166666666666664</v>
      </c>
      <c r="R46">
        <f t="shared" si="2"/>
        <v>3.4166666666666665</v>
      </c>
    </row>
    <row r="47" spans="1:32" x14ac:dyDescent="0.25">
      <c r="A47" s="91" t="s">
        <v>51</v>
      </c>
      <c r="B47" s="92">
        <v>18</v>
      </c>
      <c r="C47" s="92">
        <v>25</v>
      </c>
      <c r="D47" s="92">
        <v>22</v>
      </c>
      <c r="E47" s="92"/>
      <c r="F47" s="92"/>
      <c r="G47" s="92"/>
      <c r="H47" s="92">
        <v>21</v>
      </c>
      <c r="I47" s="92">
        <v>16</v>
      </c>
      <c r="J47" s="92">
        <v>19</v>
      </c>
      <c r="K47" s="92"/>
      <c r="L47" s="92">
        <v>21</v>
      </c>
      <c r="M47" s="92">
        <v>27</v>
      </c>
      <c r="N47" s="92" t="s">
        <v>268</v>
      </c>
      <c r="P47">
        <f t="shared" si="0"/>
        <v>169</v>
      </c>
      <c r="Q47">
        <f t="shared" si="1"/>
        <v>46.944444444444443</v>
      </c>
      <c r="R47">
        <f t="shared" si="2"/>
        <v>4.6944444444444446</v>
      </c>
    </row>
    <row r="48" spans="1:32" x14ac:dyDescent="0.25">
      <c r="A48" s="91" t="s">
        <v>52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>
        <v>17</v>
      </c>
      <c r="M48" s="92">
        <v>26</v>
      </c>
      <c r="N48" s="92" t="s">
        <v>268</v>
      </c>
      <c r="P48">
        <f t="shared" si="0"/>
        <v>43</v>
      </c>
      <c r="Q48">
        <f t="shared" si="1"/>
        <v>11.944444444444445</v>
      </c>
      <c r="R48">
        <f t="shared" si="2"/>
        <v>1.1944444444444444</v>
      </c>
    </row>
    <row r="49" spans="1:32" x14ac:dyDescent="0.25">
      <c r="A49" s="91" t="s">
        <v>53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 t="s">
        <v>268</v>
      </c>
      <c r="P49">
        <f t="shared" si="0"/>
        <v>0</v>
      </c>
      <c r="Q49">
        <f t="shared" si="1"/>
        <v>0</v>
      </c>
      <c r="R49">
        <f t="shared" si="2"/>
        <v>0</v>
      </c>
    </row>
    <row r="50" spans="1:32" x14ac:dyDescent="0.25">
      <c r="A50" s="91" t="s">
        <v>54</v>
      </c>
      <c r="B50" s="92">
        <v>15</v>
      </c>
      <c r="C50" s="92">
        <v>12</v>
      </c>
      <c r="D50" s="92">
        <v>20</v>
      </c>
      <c r="E50" s="92"/>
      <c r="F50" s="92"/>
      <c r="G50" s="92"/>
      <c r="H50" s="92">
        <v>18</v>
      </c>
      <c r="I50" s="92">
        <v>11</v>
      </c>
      <c r="J50" s="92">
        <v>20</v>
      </c>
      <c r="K50" s="92">
        <v>9</v>
      </c>
      <c r="L50" s="92"/>
      <c r="M50" s="92"/>
      <c r="N50" s="92" t="s">
        <v>268</v>
      </c>
      <c r="P50">
        <f t="shared" si="0"/>
        <v>105</v>
      </c>
      <c r="Q50">
        <f t="shared" si="1"/>
        <v>29.166666666666668</v>
      </c>
      <c r="R50">
        <f t="shared" si="2"/>
        <v>2.916666666666667</v>
      </c>
    </row>
    <row r="51" spans="1:32" x14ac:dyDescent="0.25">
      <c r="A51" s="91" t="s">
        <v>305</v>
      </c>
      <c r="B51" s="92"/>
      <c r="C51" s="92"/>
      <c r="D51" s="92"/>
      <c r="E51" s="92"/>
      <c r="F51" s="92"/>
      <c r="G51" s="92"/>
      <c r="H51" s="92"/>
      <c r="I51" s="92"/>
      <c r="J51" s="92">
        <v>28</v>
      </c>
      <c r="K51" s="92">
        <v>14</v>
      </c>
      <c r="L51" s="92">
        <v>30</v>
      </c>
      <c r="M51" s="92">
        <v>26</v>
      </c>
      <c r="N51" s="92" t="s">
        <v>268</v>
      </c>
      <c r="P51">
        <f t="shared" si="0"/>
        <v>98</v>
      </c>
      <c r="Q51">
        <f t="shared" si="1"/>
        <v>27.222222222222221</v>
      </c>
      <c r="R51">
        <f t="shared" si="2"/>
        <v>2.7222222222222223</v>
      </c>
    </row>
    <row r="52" spans="1:32" x14ac:dyDescent="0.25">
      <c r="A52" s="91" t="s">
        <v>56</v>
      </c>
      <c r="B52" s="92">
        <v>11</v>
      </c>
      <c r="C52" s="92">
        <v>17</v>
      </c>
      <c r="D52" s="92">
        <v>22</v>
      </c>
      <c r="E52" s="92">
        <v>8</v>
      </c>
      <c r="F52" s="92"/>
      <c r="G52" s="92"/>
      <c r="H52" s="92">
        <v>17</v>
      </c>
      <c r="I52" s="92">
        <v>13</v>
      </c>
      <c r="J52" s="92">
        <v>10</v>
      </c>
      <c r="K52" s="92">
        <v>7</v>
      </c>
      <c r="L52" s="92">
        <v>16</v>
      </c>
      <c r="M52" s="92">
        <v>21</v>
      </c>
      <c r="N52" s="92" t="s">
        <v>268</v>
      </c>
      <c r="P52">
        <f t="shared" si="0"/>
        <v>142</v>
      </c>
      <c r="Q52">
        <f t="shared" si="1"/>
        <v>39.444444444444443</v>
      </c>
      <c r="R52">
        <f t="shared" si="2"/>
        <v>3.9444444444444446</v>
      </c>
    </row>
    <row r="53" spans="1:32" x14ac:dyDescent="0.25">
      <c r="A53" s="91" t="s">
        <v>57</v>
      </c>
      <c r="B53" s="92"/>
      <c r="C53" s="92"/>
      <c r="D53" s="92"/>
      <c r="E53" s="92"/>
      <c r="F53" s="92"/>
      <c r="G53" s="92"/>
      <c r="H53" s="92"/>
      <c r="I53" s="92"/>
      <c r="J53" s="92"/>
      <c r="K53" s="92">
        <v>9</v>
      </c>
      <c r="L53" s="92">
        <v>28</v>
      </c>
      <c r="M53" s="92">
        <v>25</v>
      </c>
      <c r="N53" s="92" t="s">
        <v>268</v>
      </c>
      <c r="P53">
        <f t="shared" si="0"/>
        <v>62</v>
      </c>
      <c r="Q53">
        <f t="shared" si="1"/>
        <v>17.222222222222221</v>
      </c>
      <c r="R53">
        <f t="shared" si="2"/>
        <v>1.7222222222222223</v>
      </c>
    </row>
    <row r="54" spans="1:32" x14ac:dyDescent="0.25">
      <c r="A54" s="91" t="s">
        <v>58</v>
      </c>
      <c r="B54" s="92"/>
      <c r="C54" s="92"/>
      <c r="D54" s="92"/>
      <c r="E54" s="92"/>
      <c r="F54" s="92"/>
      <c r="G54" s="92"/>
      <c r="H54" s="92"/>
      <c r="I54" s="92"/>
      <c r="J54" s="92">
        <v>17</v>
      </c>
      <c r="K54" s="92">
        <v>6</v>
      </c>
      <c r="L54" s="92">
        <v>15</v>
      </c>
      <c r="M54" s="92">
        <v>26</v>
      </c>
      <c r="N54" s="92" t="s">
        <v>268</v>
      </c>
      <c r="P54">
        <f t="shared" si="0"/>
        <v>64</v>
      </c>
      <c r="Q54">
        <f t="shared" si="1"/>
        <v>17.777777777777779</v>
      </c>
      <c r="R54">
        <f t="shared" si="2"/>
        <v>1.7777777777777779</v>
      </c>
    </row>
    <row r="55" spans="1:32" x14ac:dyDescent="0.25">
      <c r="A55" s="91" t="s">
        <v>59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 t="s">
        <v>268</v>
      </c>
      <c r="P55">
        <f t="shared" si="0"/>
        <v>0</v>
      </c>
      <c r="Q55">
        <f t="shared" si="1"/>
        <v>0</v>
      </c>
      <c r="R55">
        <f t="shared" si="2"/>
        <v>0</v>
      </c>
    </row>
    <row r="56" spans="1:32" x14ac:dyDescent="0.25">
      <c r="A56" s="91" t="s">
        <v>60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 t="s">
        <v>268</v>
      </c>
      <c r="P56">
        <f t="shared" si="0"/>
        <v>0</v>
      </c>
      <c r="Q56">
        <f t="shared" si="1"/>
        <v>0</v>
      </c>
      <c r="R56">
        <f t="shared" si="2"/>
        <v>0</v>
      </c>
    </row>
    <row r="57" spans="1:32" x14ac:dyDescent="0.25">
      <c r="A57" s="91" t="s">
        <v>61</v>
      </c>
      <c r="B57" s="92"/>
      <c r="C57" s="92">
        <v>22</v>
      </c>
      <c r="D57" s="92">
        <v>21</v>
      </c>
      <c r="E57" s="92">
        <v>18</v>
      </c>
      <c r="F57" s="92">
        <v>10</v>
      </c>
      <c r="G57" s="92">
        <v>10</v>
      </c>
      <c r="H57" s="92">
        <v>18</v>
      </c>
      <c r="I57" s="92">
        <v>14</v>
      </c>
      <c r="J57" s="92">
        <v>13</v>
      </c>
      <c r="K57" s="92">
        <v>7</v>
      </c>
      <c r="L57" s="92">
        <v>17</v>
      </c>
      <c r="M57" s="92">
        <v>25</v>
      </c>
      <c r="N57" s="92" t="s">
        <v>268</v>
      </c>
      <c r="P57">
        <f t="shared" si="0"/>
        <v>175</v>
      </c>
      <c r="Q57">
        <f t="shared" si="1"/>
        <v>48.611111111111107</v>
      </c>
      <c r="R57">
        <f t="shared" si="2"/>
        <v>4.8611111111111107</v>
      </c>
    </row>
    <row r="58" spans="1:32" x14ac:dyDescent="0.25">
      <c r="A58" s="91" t="s">
        <v>62</v>
      </c>
      <c r="B58" s="92"/>
      <c r="C58" s="92"/>
      <c r="D58" s="92"/>
      <c r="E58" s="92"/>
      <c r="F58" s="92"/>
      <c r="G58" s="92"/>
      <c r="H58" s="92">
        <v>25</v>
      </c>
      <c r="I58" s="92">
        <v>19</v>
      </c>
      <c r="J58" s="92">
        <v>14</v>
      </c>
      <c r="K58" s="92">
        <v>6</v>
      </c>
      <c r="L58" s="92">
        <v>18</v>
      </c>
      <c r="M58" s="92">
        <v>24</v>
      </c>
      <c r="N58" s="92" t="s">
        <v>268</v>
      </c>
      <c r="P58">
        <f t="shared" si="0"/>
        <v>106</v>
      </c>
      <c r="Q58">
        <f t="shared" si="1"/>
        <v>29.444444444444446</v>
      </c>
      <c r="R58">
        <f t="shared" si="2"/>
        <v>2.9444444444444446</v>
      </c>
    </row>
    <row r="59" spans="1:32" x14ac:dyDescent="0.25">
      <c r="A59" s="91" t="s">
        <v>63</v>
      </c>
      <c r="B59" s="92"/>
      <c r="C59" s="92">
        <v>20</v>
      </c>
      <c r="D59" s="92">
        <v>26</v>
      </c>
      <c r="E59" s="92"/>
      <c r="F59" s="92"/>
      <c r="G59" s="92"/>
      <c r="H59" s="92">
        <v>21</v>
      </c>
      <c r="I59" s="92"/>
      <c r="J59" s="92"/>
      <c r="K59" s="92"/>
      <c r="L59" s="92"/>
      <c r="M59" s="92"/>
      <c r="N59" s="92" t="s">
        <v>268</v>
      </c>
      <c r="P59">
        <f t="shared" si="0"/>
        <v>67</v>
      </c>
      <c r="Q59">
        <f t="shared" si="1"/>
        <v>18.611111111111111</v>
      </c>
      <c r="R59">
        <f t="shared" si="2"/>
        <v>1.8611111111111112</v>
      </c>
    </row>
    <row r="60" spans="1:32" x14ac:dyDescent="0.25">
      <c r="A60" s="91" t="s">
        <v>64</v>
      </c>
      <c r="B60" s="92"/>
      <c r="C60" s="92"/>
      <c r="D60" s="92"/>
      <c r="E60" s="92">
        <v>11</v>
      </c>
      <c r="F60" s="92"/>
      <c r="G60" s="92"/>
      <c r="H60" s="92">
        <v>14</v>
      </c>
      <c r="I60" s="92"/>
      <c r="J60" s="92"/>
      <c r="K60" s="92"/>
      <c r="L60" s="92">
        <v>17</v>
      </c>
      <c r="M60" s="92"/>
      <c r="N60" s="92" t="s">
        <v>268</v>
      </c>
      <c r="P60">
        <f t="shared" si="0"/>
        <v>42</v>
      </c>
      <c r="Q60">
        <f t="shared" si="1"/>
        <v>11.666666666666666</v>
      </c>
      <c r="R60">
        <f t="shared" si="2"/>
        <v>1.1666666666666667</v>
      </c>
    </row>
    <row r="61" spans="1:32" x14ac:dyDescent="0.25">
      <c r="A61" s="91" t="s">
        <v>65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 t="s">
        <v>268</v>
      </c>
      <c r="P61">
        <f t="shared" si="0"/>
        <v>0</v>
      </c>
      <c r="Q61">
        <f t="shared" si="1"/>
        <v>0</v>
      </c>
      <c r="R61">
        <f t="shared" si="2"/>
        <v>0</v>
      </c>
    </row>
    <row r="62" spans="1:32" x14ac:dyDescent="0.25">
      <c r="A62" s="91" t="s">
        <v>66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 t="s">
        <v>268</v>
      </c>
      <c r="P62">
        <f t="shared" si="0"/>
        <v>0</v>
      </c>
      <c r="Q62">
        <f t="shared" si="1"/>
        <v>0</v>
      </c>
      <c r="R62">
        <f t="shared" si="2"/>
        <v>0</v>
      </c>
    </row>
    <row r="63" spans="1:32" x14ac:dyDescent="0.25">
      <c r="A63" s="95" t="s">
        <v>67</v>
      </c>
      <c r="B63" s="96"/>
      <c r="C63" s="96">
        <v>17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 t="s">
        <v>269</v>
      </c>
      <c r="O63" s="95"/>
      <c r="P63">
        <f t="shared" si="0"/>
        <v>17</v>
      </c>
      <c r="Q63">
        <f t="shared" si="1"/>
        <v>4.7222222222222223</v>
      </c>
      <c r="R63">
        <f t="shared" si="2"/>
        <v>0.47222222222222227</v>
      </c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</row>
    <row r="64" spans="1:32" x14ac:dyDescent="0.25">
      <c r="A64" s="95" t="s">
        <v>69</v>
      </c>
      <c r="B64" s="96">
        <v>15</v>
      </c>
      <c r="C64" s="96">
        <v>20</v>
      </c>
      <c r="D64" s="96"/>
      <c r="E64" s="96">
        <v>20</v>
      </c>
      <c r="F64" s="96">
        <v>21</v>
      </c>
      <c r="G64" s="96">
        <v>22</v>
      </c>
      <c r="H64" s="96">
        <v>19</v>
      </c>
      <c r="I64" s="96">
        <v>14</v>
      </c>
      <c r="J64" s="96">
        <v>17</v>
      </c>
      <c r="K64" s="96">
        <v>14</v>
      </c>
      <c r="L64" s="96">
        <v>22</v>
      </c>
      <c r="M64" s="96">
        <v>25</v>
      </c>
      <c r="N64" s="96" t="s">
        <v>269</v>
      </c>
      <c r="O64" s="95"/>
      <c r="P64">
        <f t="shared" si="0"/>
        <v>209</v>
      </c>
      <c r="Q64">
        <f t="shared" si="1"/>
        <v>58.055555555555557</v>
      </c>
      <c r="R64">
        <f t="shared" si="2"/>
        <v>5.8055555555555562</v>
      </c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</row>
    <row r="65" spans="1:32" x14ac:dyDescent="0.25">
      <c r="A65" s="95" t="s">
        <v>306</v>
      </c>
      <c r="B65" s="96"/>
      <c r="C65" s="96"/>
      <c r="D65" s="96"/>
      <c r="E65" s="96"/>
      <c r="F65" s="96"/>
      <c r="G65" s="96"/>
      <c r="H65" s="96"/>
      <c r="I65" s="96"/>
      <c r="J65" s="96">
        <v>11</v>
      </c>
      <c r="K65" s="96"/>
      <c r="L65" s="96"/>
      <c r="M65" s="96"/>
      <c r="N65" s="96" t="s">
        <v>269</v>
      </c>
      <c r="O65" s="95"/>
      <c r="P65">
        <f t="shared" si="0"/>
        <v>11</v>
      </c>
      <c r="Q65">
        <f t="shared" si="1"/>
        <v>3.0555555555555554</v>
      </c>
      <c r="R65">
        <f t="shared" si="2"/>
        <v>0.30555555555555558</v>
      </c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</row>
    <row r="66" spans="1:32" x14ac:dyDescent="0.25">
      <c r="A66" s="91" t="s">
        <v>71</v>
      </c>
      <c r="B66" s="92">
        <v>10</v>
      </c>
      <c r="C66" s="92"/>
      <c r="D66" s="92"/>
      <c r="E66" s="92">
        <v>18</v>
      </c>
      <c r="F66" s="92"/>
      <c r="G66" s="92"/>
      <c r="H66" s="92">
        <v>24</v>
      </c>
      <c r="I66" s="92"/>
      <c r="J66" s="92">
        <v>10</v>
      </c>
      <c r="K66" s="92">
        <v>8</v>
      </c>
      <c r="L66" s="92">
        <v>15</v>
      </c>
      <c r="M66" s="92"/>
      <c r="N66" s="92" t="s">
        <v>272</v>
      </c>
      <c r="P66">
        <f t="shared" si="0"/>
        <v>85</v>
      </c>
      <c r="Q66">
        <f t="shared" si="1"/>
        <v>23.611111111111111</v>
      </c>
      <c r="R66">
        <f t="shared" si="2"/>
        <v>2.3611111111111112</v>
      </c>
    </row>
    <row r="67" spans="1:32" x14ac:dyDescent="0.25">
      <c r="A67" s="91" t="s">
        <v>72</v>
      </c>
      <c r="B67" s="92">
        <v>11</v>
      </c>
      <c r="C67" s="92"/>
      <c r="D67" s="92"/>
      <c r="E67" s="92">
        <v>10</v>
      </c>
      <c r="F67" s="92">
        <v>11</v>
      </c>
      <c r="G67" s="92"/>
      <c r="H67" s="92"/>
      <c r="I67" s="92">
        <v>14</v>
      </c>
      <c r="J67" s="92">
        <v>8</v>
      </c>
      <c r="K67" s="92">
        <v>10</v>
      </c>
      <c r="L67" s="92">
        <v>16</v>
      </c>
      <c r="M67" s="92">
        <v>22</v>
      </c>
      <c r="N67" s="92" t="s">
        <v>272</v>
      </c>
      <c r="P67">
        <f t="shared" ref="P67:P130" si="3">SUM(B67:M67)</f>
        <v>102</v>
      </c>
      <c r="Q67">
        <f t="shared" ref="Q67:Q130" si="4">(P67/360)*100</f>
        <v>28.333333333333332</v>
      </c>
      <c r="R67">
        <f t="shared" ref="R67:R130" si="5">Q67*0.1</f>
        <v>2.8333333333333335</v>
      </c>
    </row>
    <row r="68" spans="1:32" x14ac:dyDescent="0.25">
      <c r="A68" s="91" t="s">
        <v>73</v>
      </c>
      <c r="B68" s="92">
        <v>12</v>
      </c>
      <c r="C68" s="92">
        <v>14</v>
      </c>
      <c r="D68" s="92">
        <v>22</v>
      </c>
      <c r="E68" s="92"/>
      <c r="F68" s="92">
        <v>11</v>
      </c>
      <c r="G68" s="92">
        <v>9</v>
      </c>
      <c r="H68" s="92">
        <v>25</v>
      </c>
      <c r="I68" s="92">
        <v>13</v>
      </c>
      <c r="J68" s="92">
        <v>16</v>
      </c>
      <c r="K68" s="92"/>
      <c r="L68" s="92">
        <v>22</v>
      </c>
      <c r="M68" s="92">
        <v>27</v>
      </c>
      <c r="N68" s="92" t="s">
        <v>272</v>
      </c>
      <c r="P68">
        <f t="shared" si="3"/>
        <v>171</v>
      </c>
      <c r="Q68">
        <f t="shared" si="4"/>
        <v>47.5</v>
      </c>
      <c r="R68">
        <f t="shared" si="5"/>
        <v>4.75</v>
      </c>
    </row>
    <row r="69" spans="1:32" x14ac:dyDescent="0.25">
      <c r="A69" s="91" t="s">
        <v>74</v>
      </c>
      <c r="B69" s="92"/>
      <c r="C69" s="92"/>
      <c r="D69" s="92"/>
      <c r="E69" s="92">
        <v>13</v>
      </c>
      <c r="F69" s="92"/>
      <c r="G69" s="92"/>
      <c r="H69" s="92">
        <v>25</v>
      </c>
      <c r="I69" s="92">
        <v>9</v>
      </c>
      <c r="J69" s="92"/>
      <c r="K69" s="92">
        <v>10</v>
      </c>
      <c r="L69" s="92"/>
      <c r="M69" s="92">
        <v>24</v>
      </c>
      <c r="N69" s="92" t="s">
        <v>272</v>
      </c>
      <c r="P69">
        <f t="shared" si="3"/>
        <v>81</v>
      </c>
      <c r="Q69">
        <f t="shared" si="4"/>
        <v>22.5</v>
      </c>
      <c r="R69">
        <f t="shared" si="5"/>
        <v>2.25</v>
      </c>
    </row>
    <row r="70" spans="1:32" x14ac:dyDescent="0.25">
      <c r="A70" s="91" t="s">
        <v>75</v>
      </c>
      <c r="B70" s="92"/>
      <c r="C70" s="92"/>
      <c r="D70" s="92"/>
      <c r="E70" s="92"/>
      <c r="F70" s="92">
        <v>27</v>
      </c>
      <c r="G70" s="92">
        <v>30</v>
      </c>
      <c r="H70" s="92">
        <v>27</v>
      </c>
      <c r="I70" s="92">
        <v>23</v>
      </c>
      <c r="J70" s="92">
        <v>27</v>
      </c>
      <c r="K70" s="92">
        <v>21</v>
      </c>
      <c r="L70" s="92">
        <v>30</v>
      </c>
      <c r="M70" s="92">
        <v>30</v>
      </c>
      <c r="N70" s="92" t="s">
        <v>272</v>
      </c>
      <c r="P70">
        <f t="shared" si="3"/>
        <v>215</v>
      </c>
      <c r="Q70">
        <f t="shared" si="4"/>
        <v>59.722222222222221</v>
      </c>
      <c r="R70">
        <f t="shared" si="5"/>
        <v>5.9722222222222223</v>
      </c>
    </row>
    <row r="71" spans="1:32" x14ac:dyDescent="0.25">
      <c r="A71" s="91" t="s">
        <v>76</v>
      </c>
      <c r="B71" s="92"/>
      <c r="C71" s="92"/>
      <c r="D71" s="92"/>
      <c r="E71" s="92">
        <v>18</v>
      </c>
      <c r="F71" s="92"/>
      <c r="G71" s="92"/>
      <c r="H71" s="92"/>
      <c r="I71" s="92"/>
      <c r="J71" s="92"/>
      <c r="K71" s="92">
        <v>4</v>
      </c>
      <c r="L71" s="92">
        <v>13</v>
      </c>
      <c r="M71" s="92"/>
      <c r="N71" s="92" t="s">
        <v>272</v>
      </c>
      <c r="P71">
        <f t="shared" si="3"/>
        <v>35</v>
      </c>
      <c r="Q71">
        <f t="shared" si="4"/>
        <v>9.7222222222222232</v>
      </c>
      <c r="R71">
        <f t="shared" si="5"/>
        <v>0.97222222222222232</v>
      </c>
    </row>
    <row r="72" spans="1:32" x14ac:dyDescent="0.25">
      <c r="A72" s="91" t="s">
        <v>77</v>
      </c>
      <c r="B72" s="92">
        <v>25</v>
      </c>
      <c r="C72" s="92"/>
      <c r="D72" s="92">
        <v>22</v>
      </c>
      <c r="E72" s="92">
        <v>28</v>
      </c>
      <c r="F72" s="92">
        <v>27</v>
      </c>
      <c r="G72" s="92">
        <v>27</v>
      </c>
      <c r="H72" s="92">
        <v>25</v>
      </c>
      <c r="I72" s="92">
        <v>27</v>
      </c>
      <c r="J72" s="92">
        <v>20</v>
      </c>
      <c r="K72" s="92">
        <v>12</v>
      </c>
      <c r="L72" s="92">
        <v>28</v>
      </c>
      <c r="M72" s="92">
        <v>28</v>
      </c>
      <c r="N72" s="92" t="s">
        <v>272</v>
      </c>
      <c r="P72">
        <f t="shared" si="3"/>
        <v>269</v>
      </c>
      <c r="Q72">
        <f t="shared" si="4"/>
        <v>74.722222222222229</v>
      </c>
      <c r="R72">
        <f t="shared" si="5"/>
        <v>7.4722222222222232</v>
      </c>
    </row>
    <row r="73" spans="1:32" x14ac:dyDescent="0.25">
      <c r="A73" s="91" t="s">
        <v>78</v>
      </c>
      <c r="B73" s="92">
        <v>26</v>
      </c>
      <c r="C73" s="92">
        <v>25</v>
      </c>
      <c r="D73" s="92"/>
      <c r="E73" s="92">
        <v>29</v>
      </c>
      <c r="F73" s="92">
        <v>27</v>
      </c>
      <c r="G73" s="92">
        <v>28</v>
      </c>
      <c r="H73" s="92">
        <v>19</v>
      </c>
      <c r="I73" s="92">
        <v>9</v>
      </c>
      <c r="J73" s="92">
        <v>15</v>
      </c>
      <c r="K73" s="92">
        <v>9</v>
      </c>
      <c r="L73" s="92">
        <v>20</v>
      </c>
      <c r="M73" s="92">
        <v>26</v>
      </c>
      <c r="N73" s="92" t="s">
        <v>272</v>
      </c>
      <c r="P73">
        <f t="shared" si="3"/>
        <v>233</v>
      </c>
      <c r="Q73">
        <f t="shared" si="4"/>
        <v>64.722222222222229</v>
      </c>
      <c r="R73">
        <f t="shared" si="5"/>
        <v>6.4722222222222232</v>
      </c>
    </row>
    <row r="74" spans="1:32" x14ac:dyDescent="0.25">
      <c r="A74" s="91" t="s">
        <v>79</v>
      </c>
      <c r="B74" s="92">
        <v>9</v>
      </c>
      <c r="C74" s="92"/>
      <c r="D74" s="92">
        <v>15</v>
      </c>
      <c r="E74" s="92">
        <v>11</v>
      </c>
      <c r="F74" s="92"/>
      <c r="G74" s="92"/>
      <c r="H74" s="92">
        <v>23</v>
      </c>
      <c r="I74" s="92">
        <v>16</v>
      </c>
      <c r="J74" s="92">
        <v>13</v>
      </c>
      <c r="K74" s="92">
        <v>9</v>
      </c>
      <c r="L74" s="92"/>
      <c r="M74" s="92"/>
      <c r="N74" s="92" t="s">
        <v>272</v>
      </c>
      <c r="P74">
        <f t="shared" si="3"/>
        <v>96</v>
      </c>
      <c r="Q74">
        <f t="shared" si="4"/>
        <v>26.666666666666668</v>
      </c>
      <c r="R74">
        <f t="shared" si="5"/>
        <v>2.666666666666667</v>
      </c>
    </row>
    <row r="75" spans="1:32" x14ac:dyDescent="0.25">
      <c r="A75" s="91" t="s">
        <v>80</v>
      </c>
      <c r="B75" s="92">
        <v>7</v>
      </c>
      <c r="C75" s="92">
        <v>24</v>
      </c>
      <c r="D75" s="92">
        <v>19</v>
      </c>
      <c r="E75" s="92">
        <v>18</v>
      </c>
      <c r="F75" s="92">
        <v>20</v>
      </c>
      <c r="G75" s="92">
        <v>13</v>
      </c>
      <c r="H75" s="92">
        <v>28</v>
      </c>
      <c r="I75" s="92">
        <v>17</v>
      </c>
      <c r="J75" s="92">
        <v>17</v>
      </c>
      <c r="K75" s="92">
        <v>18</v>
      </c>
      <c r="L75" s="92">
        <v>21</v>
      </c>
      <c r="M75" s="92">
        <v>26</v>
      </c>
      <c r="N75" s="92" t="s">
        <v>272</v>
      </c>
      <c r="P75">
        <f t="shared" si="3"/>
        <v>228</v>
      </c>
      <c r="Q75">
        <f t="shared" si="4"/>
        <v>63.333333333333329</v>
      </c>
      <c r="R75">
        <f t="shared" si="5"/>
        <v>6.333333333333333</v>
      </c>
    </row>
    <row r="76" spans="1:32" x14ac:dyDescent="0.25">
      <c r="A76" s="91" t="s">
        <v>310</v>
      </c>
      <c r="B76" s="92"/>
      <c r="C76" s="92"/>
      <c r="D76" s="92"/>
      <c r="E76" s="92"/>
      <c r="F76" s="92"/>
      <c r="G76" s="92"/>
      <c r="H76" s="92">
        <v>17</v>
      </c>
      <c r="I76" s="92">
        <v>11</v>
      </c>
      <c r="J76" s="92"/>
      <c r="K76" s="92">
        <v>7</v>
      </c>
      <c r="L76" s="92"/>
      <c r="M76" s="92"/>
      <c r="N76" s="92" t="s">
        <v>272</v>
      </c>
      <c r="P76">
        <f t="shared" si="3"/>
        <v>35</v>
      </c>
      <c r="Q76">
        <f t="shared" si="4"/>
        <v>9.7222222222222232</v>
      </c>
      <c r="R76">
        <f t="shared" si="5"/>
        <v>0.97222222222222232</v>
      </c>
    </row>
    <row r="77" spans="1:32" x14ac:dyDescent="0.25">
      <c r="A77" s="91" t="s">
        <v>82</v>
      </c>
      <c r="B77" s="92">
        <v>15</v>
      </c>
      <c r="C77" s="92"/>
      <c r="D77" s="92"/>
      <c r="E77" s="92">
        <v>20</v>
      </c>
      <c r="F77" s="92">
        <v>12</v>
      </c>
      <c r="G77" s="92">
        <v>27</v>
      </c>
      <c r="H77" s="92">
        <v>15</v>
      </c>
      <c r="I77" s="92">
        <v>13</v>
      </c>
      <c r="J77" s="92">
        <v>17</v>
      </c>
      <c r="K77" s="92">
        <v>6</v>
      </c>
      <c r="L77" s="92">
        <v>16</v>
      </c>
      <c r="M77" s="92">
        <v>28</v>
      </c>
      <c r="N77" s="92" t="s">
        <v>272</v>
      </c>
      <c r="P77">
        <f t="shared" si="3"/>
        <v>169</v>
      </c>
      <c r="Q77">
        <f t="shared" si="4"/>
        <v>46.944444444444443</v>
      </c>
      <c r="R77">
        <f t="shared" si="5"/>
        <v>4.6944444444444446</v>
      </c>
    </row>
    <row r="78" spans="1:32" x14ac:dyDescent="0.25">
      <c r="A78" s="91" t="s">
        <v>83</v>
      </c>
      <c r="B78" s="92">
        <v>11</v>
      </c>
      <c r="C78" s="92"/>
      <c r="D78" s="92"/>
      <c r="E78" s="92">
        <v>9</v>
      </c>
      <c r="F78" s="92">
        <v>11</v>
      </c>
      <c r="G78" s="92">
        <v>9</v>
      </c>
      <c r="H78" s="92">
        <v>13</v>
      </c>
      <c r="I78" s="92">
        <v>10</v>
      </c>
      <c r="J78" s="92">
        <v>6</v>
      </c>
      <c r="K78" s="92">
        <v>4</v>
      </c>
      <c r="L78" s="92">
        <v>16</v>
      </c>
      <c r="M78" s="92">
        <v>27</v>
      </c>
      <c r="N78" s="92" t="s">
        <v>272</v>
      </c>
      <c r="P78">
        <f t="shared" si="3"/>
        <v>116</v>
      </c>
      <c r="Q78">
        <f t="shared" si="4"/>
        <v>32.222222222222221</v>
      </c>
      <c r="R78">
        <f t="shared" si="5"/>
        <v>3.2222222222222223</v>
      </c>
    </row>
    <row r="79" spans="1:32" x14ac:dyDescent="0.25">
      <c r="A79" s="91" t="s">
        <v>84</v>
      </c>
      <c r="B79" s="92">
        <v>28</v>
      </c>
      <c r="C79" s="92"/>
      <c r="D79" s="92"/>
      <c r="E79" s="92">
        <v>30</v>
      </c>
      <c r="F79" s="92">
        <v>25</v>
      </c>
      <c r="G79" s="92">
        <v>30</v>
      </c>
      <c r="H79" s="92">
        <v>30</v>
      </c>
      <c r="I79" s="92">
        <v>22</v>
      </c>
      <c r="J79" s="92">
        <v>26</v>
      </c>
      <c r="K79" s="92">
        <v>20</v>
      </c>
      <c r="L79" s="92">
        <v>29</v>
      </c>
      <c r="M79" s="92">
        <v>30</v>
      </c>
      <c r="N79" s="92" t="s">
        <v>272</v>
      </c>
      <c r="P79">
        <f t="shared" si="3"/>
        <v>270</v>
      </c>
      <c r="Q79">
        <f t="shared" si="4"/>
        <v>75</v>
      </c>
      <c r="R79">
        <f t="shared" si="5"/>
        <v>7.5</v>
      </c>
    </row>
    <row r="80" spans="1:32" x14ac:dyDescent="0.25">
      <c r="A80" s="91" t="s">
        <v>85</v>
      </c>
      <c r="B80" s="92"/>
      <c r="C80" s="92"/>
      <c r="D80" s="92"/>
      <c r="E80" s="92"/>
      <c r="F80" s="92">
        <v>17</v>
      </c>
      <c r="G80" s="92"/>
      <c r="H80" s="92">
        <v>27</v>
      </c>
      <c r="I80" s="92">
        <v>15</v>
      </c>
      <c r="J80" s="92"/>
      <c r="K80" s="92"/>
      <c r="L80" s="92">
        <v>23</v>
      </c>
      <c r="M80" s="92">
        <v>20</v>
      </c>
      <c r="N80" s="92" t="s">
        <v>272</v>
      </c>
      <c r="P80">
        <f t="shared" si="3"/>
        <v>102</v>
      </c>
      <c r="Q80">
        <f t="shared" si="4"/>
        <v>28.333333333333332</v>
      </c>
      <c r="R80">
        <f t="shared" si="5"/>
        <v>2.8333333333333335</v>
      </c>
    </row>
    <row r="81" spans="1:18" x14ac:dyDescent="0.25">
      <c r="A81" s="91" t="s">
        <v>86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 t="s">
        <v>272</v>
      </c>
      <c r="P81">
        <f t="shared" si="3"/>
        <v>0</v>
      </c>
      <c r="Q81">
        <f t="shared" si="4"/>
        <v>0</v>
      </c>
      <c r="R81">
        <f t="shared" si="5"/>
        <v>0</v>
      </c>
    </row>
    <row r="82" spans="1:18" x14ac:dyDescent="0.25">
      <c r="A82" s="91" t="s">
        <v>87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 t="s">
        <v>272</v>
      </c>
      <c r="P82">
        <f t="shared" si="3"/>
        <v>0</v>
      </c>
      <c r="Q82">
        <f t="shared" si="4"/>
        <v>0</v>
      </c>
      <c r="R82">
        <f t="shared" si="5"/>
        <v>0</v>
      </c>
    </row>
    <row r="83" spans="1:18" x14ac:dyDescent="0.25">
      <c r="A83" s="91" t="s">
        <v>88</v>
      </c>
      <c r="B83" s="92">
        <v>28</v>
      </c>
      <c r="C83" s="92"/>
      <c r="D83" s="92"/>
      <c r="E83" s="92">
        <v>30</v>
      </c>
      <c r="F83" s="92">
        <v>27</v>
      </c>
      <c r="G83" s="92">
        <v>29</v>
      </c>
      <c r="H83" s="92">
        <v>30</v>
      </c>
      <c r="I83" s="92">
        <v>30</v>
      </c>
      <c r="J83" s="92">
        <v>28</v>
      </c>
      <c r="K83" s="92">
        <v>20</v>
      </c>
      <c r="L83" s="92">
        <v>29</v>
      </c>
      <c r="M83" s="92">
        <v>29</v>
      </c>
      <c r="N83" s="92" t="s">
        <v>272</v>
      </c>
      <c r="P83">
        <f t="shared" si="3"/>
        <v>280</v>
      </c>
      <c r="Q83">
        <f t="shared" si="4"/>
        <v>77.777777777777786</v>
      </c>
      <c r="R83">
        <f t="shared" si="5"/>
        <v>7.7777777777777786</v>
      </c>
    </row>
    <row r="84" spans="1:18" x14ac:dyDescent="0.25">
      <c r="A84" s="91" t="s">
        <v>89</v>
      </c>
      <c r="B84" s="92"/>
      <c r="C84" s="92"/>
      <c r="D84" s="92"/>
      <c r="E84" s="92">
        <v>14</v>
      </c>
      <c r="F84" s="92"/>
      <c r="G84" s="92"/>
      <c r="H84" s="92"/>
      <c r="I84" s="92"/>
      <c r="J84" s="92"/>
      <c r="K84" s="92">
        <v>11</v>
      </c>
      <c r="L84" s="92">
        <v>21</v>
      </c>
      <c r="M84" s="92">
        <v>28</v>
      </c>
      <c r="N84" s="92" t="s">
        <v>272</v>
      </c>
      <c r="P84">
        <f t="shared" si="3"/>
        <v>74</v>
      </c>
      <c r="Q84">
        <f t="shared" si="4"/>
        <v>20.555555555555554</v>
      </c>
      <c r="R84">
        <f t="shared" si="5"/>
        <v>2.0555555555555554</v>
      </c>
    </row>
    <row r="85" spans="1:18" x14ac:dyDescent="0.25">
      <c r="A85" s="91" t="s">
        <v>90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 t="s">
        <v>272</v>
      </c>
      <c r="P85">
        <f t="shared" si="3"/>
        <v>0</v>
      </c>
      <c r="Q85">
        <f t="shared" si="4"/>
        <v>0</v>
      </c>
      <c r="R85">
        <f t="shared" si="5"/>
        <v>0</v>
      </c>
    </row>
    <row r="86" spans="1:18" x14ac:dyDescent="0.25">
      <c r="A86" s="91" t="s">
        <v>91</v>
      </c>
      <c r="B86" s="92">
        <v>25</v>
      </c>
      <c r="C86" s="92">
        <v>23</v>
      </c>
      <c r="D86" s="92">
        <v>25</v>
      </c>
      <c r="E86" s="92">
        <v>27</v>
      </c>
      <c r="F86" s="92">
        <v>28</v>
      </c>
      <c r="G86" s="92">
        <v>25</v>
      </c>
      <c r="H86" s="92"/>
      <c r="I86" s="92">
        <v>22</v>
      </c>
      <c r="J86" s="92"/>
      <c r="K86" s="92">
        <v>16</v>
      </c>
      <c r="L86" s="92">
        <v>27</v>
      </c>
      <c r="M86" s="92">
        <v>22</v>
      </c>
      <c r="N86" s="92" t="s">
        <v>272</v>
      </c>
      <c r="P86">
        <f t="shared" si="3"/>
        <v>240</v>
      </c>
      <c r="Q86">
        <f t="shared" si="4"/>
        <v>66.666666666666657</v>
      </c>
      <c r="R86">
        <f t="shared" si="5"/>
        <v>6.6666666666666661</v>
      </c>
    </row>
    <row r="87" spans="1:18" x14ac:dyDescent="0.25">
      <c r="A87" s="91" t="s">
        <v>92</v>
      </c>
      <c r="B87" s="92">
        <v>22</v>
      </c>
      <c r="C87" s="92"/>
      <c r="D87" s="92"/>
      <c r="E87" s="92">
        <v>25</v>
      </c>
      <c r="F87" s="92">
        <v>22</v>
      </c>
      <c r="G87" s="92"/>
      <c r="H87" s="92"/>
      <c r="I87" s="92"/>
      <c r="J87" s="92"/>
      <c r="K87" s="92">
        <v>9</v>
      </c>
      <c r="L87" s="92"/>
      <c r="M87" s="92"/>
      <c r="N87" s="92" t="s">
        <v>272</v>
      </c>
      <c r="P87">
        <f t="shared" si="3"/>
        <v>78</v>
      </c>
      <c r="Q87">
        <f t="shared" si="4"/>
        <v>21.666666666666668</v>
      </c>
      <c r="R87">
        <f t="shared" si="5"/>
        <v>2.166666666666667</v>
      </c>
    </row>
    <row r="88" spans="1:18" x14ac:dyDescent="0.25">
      <c r="A88" s="91" t="s">
        <v>93</v>
      </c>
      <c r="B88" s="92">
        <v>9</v>
      </c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 t="s">
        <v>272</v>
      </c>
      <c r="P88">
        <f t="shared" si="3"/>
        <v>9</v>
      </c>
      <c r="Q88">
        <f t="shared" si="4"/>
        <v>2.5</v>
      </c>
      <c r="R88">
        <f t="shared" si="5"/>
        <v>0.25</v>
      </c>
    </row>
    <row r="89" spans="1:18" x14ac:dyDescent="0.25">
      <c r="A89" s="91" t="s">
        <v>94</v>
      </c>
      <c r="B89" s="92">
        <v>29</v>
      </c>
      <c r="C89" s="92"/>
      <c r="D89" s="92">
        <v>29</v>
      </c>
      <c r="E89" s="92">
        <v>30</v>
      </c>
      <c r="F89" s="92">
        <v>28</v>
      </c>
      <c r="G89" s="92">
        <v>29</v>
      </c>
      <c r="H89" s="92">
        <v>30</v>
      </c>
      <c r="I89" s="92">
        <v>28</v>
      </c>
      <c r="J89" s="92">
        <v>28</v>
      </c>
      <c r="K89" s="92">
        <v>21</v>
      </c>
      <c r="L89" s="92">
        <v>27</v>
      </c>
      <c r="M89" s="92">
        <v>29</v>
      </c>
      <c r="N89" s="92" t="s">
        <v>272</v>
      </c>
      <c r="P89">
        <f t="shared" si="3"/>
        <v>308</v>
      </c>
      <c r="Q89">
        <f t="shared" si="4"/>
        <v>85.555555555555557</v>
      </c>
      <c r="R89">
        <f t="shared" si="5"/>
        <v>8.5555555555555554</v>
      </c>
    </row>
    <row r="90" spans="1:18" x14ac:dyDescent="0.25">
      <c r="A90" s="91" t="s">
        <v>95</v>
      </c>
      <c r="B90" s="92"/>
      <c r="C90" s="92"/>
      <c r="D90" s="92"/>
      <c r="E90" s="92"/>
      <c r="F90" s="92">
        <v>28</v>
      </c>
      <c r="G90" s="92">
        <v>29</v>
      </c>
      <c r="H90" s="92">
        <v>29</v>
      </c>
      <c r="I90" s="92">
        <v>26</v>
      </c>
      <c r="J90" s="92">
        <v>28</v>
      </c>
      <c r="K90" s="92">
        <v>20</v>
      </c>
      <c r="L90" s="92">
        <v>28</v>
      </c>
      <c r="M90" s="92">
        <v>29</v>
      </c>
      <c r="N90" s="92" t="s">
        <v>272</v>
      </c>
      <c r="P90">
        <f t="shared" si="3"/>
        <v>217</v>
      </c>
      <c r="Q90">
        <f t="shared" si="4"/>
        <v>60.277777777777771</v>
      </c>
      <c r="R90">
        <f t="shared" si="5"/>
        <v>6.0277777777777777</v>
      </c>
    </row>
    <row r="91" spans="1:18" x14ac:dyDescent="0.25">
      <c r="A91" s="91" t="s">
        <v>311</v>
      </c>
      <c r="B91" s="92"/>
      <c r="C91" s="92"/>
      <c r="D91" s="92"/>
      <c r="E91" s="92">
        <v>26</v>
      </c>
      <c r="F91" s="92">
        <v>23</v>
      </c>
      <c r="G91" s="92">
        <v>22</v>
      </c>
      <c r="H91" s="92">
        <v>16</v>
      </c>
      <c r="I91" s="92">
        <v>11</v>
      </c>
      <c r="J91" s="92">
        <v>14</v>
      </c>
      <c r="K91" s="92">
        <v>11</v>
      </c>
      <c r="L91" s="92">
        <v>19</v>
      </c>
      <c r="M91" s="92">
        <v>24</v>
      </c>
      <c r="N91" s="92" t="s">
        <v>272</v>
      </c>
      <c r="P91">
        <f t="shared" si="3"/>
        <v>166</v>
      </c>
      <c r="Q91">
        <f t="shared" si="4"/>
        <v>46.111111111111114</v>
      </c>
      <c r="R91">
        <f t="shared" si="5"/>
        <v>4.6111111111111116</v>
      </c>
    </row>
    <row r="92" spans="1:18" x14ac:dyDescent="0.25">
      <c r="A92" s="91" t="s">
        <v>97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 t="s">
        <v>272</v>
      </c>
      <c r="P92">
        <f t="shared" si="3"/>
        <v>0</v>
      </c>
      <c r="Q92">
        <f t="shared" si="4"/>
        <v>0</v>
      </c>
      <c r="R92">
        <f t="shared" si="5"/>
        <v>0</v>
      </c>
    </row>
    <row r="93" spans="1:18" x14ac:dyDescent="0.25">
      <c r="A93" s="91" t="s">
        <v>98</v>
      </c>
      <c r="B93" s="92">
        <v>23</v>
      </c>
      <c r="C93" s="92"/>
      <c r="D93" s="92"/>
      <c r="E93" s="92">
        <v>29</v>
      </c>
      <c r="F93" s="92">
        <v>22</v>
      </c>
      <c r="G93" s="92">
        <v>20</v>
      </c>
      <c r="H93" s="92"/>
      <c r="I93" s="92"/>
      <c r="J93" s="92">
        <v>11</v>
      </c>
      <c r="K93" s="92">
        <v>15</v>
      </c>
      <c r="L93" s="92">
        <v>19</v>
      </c>
      <c r="M93" s="92">
        <v>26</v>
      </c>
      <c r="N93" s="92" t="s">
        <v>272</v>
      </c>
      <c r="P93">
        <f t="shared" si="3"/>
        <v>165</v>
      </c>
      <c r="Q93">
        <f t="shared" si="4"/>
        <v>45.833333333333329</v>
      </c>
      <c r="R93">
        <f t="shared" si="5"/>
        <v>4.583333333333333</v>
      </c>
    </row>
    <row r="94" spans="1:18" x14ac:dyDescent="0.25">
      <c r="A94" s="91" t="s">
        <v>99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 t="s">
        <v>272</v>
      </c>
      <c r="P94">
        <f t="shared" si="3"/>
        <v>0</v>
      </c>
      <c r="Q94">
        <f t="shared" si="4"/>
        <v>0</v>
      </c>
      <c r="R94">
        <f t="shared" si="5"/>
        <v>0</v>
      </c>
    </row>
    <row r="95" spans="1:18" x14ac:dyDescent="0.25">
      <c r="A95" s="91" t="s">
        <v>100</v>
      </c>
      <c r="B95" s="92">
        <v>12</v>
      </c>
      <c r="C95" s="92"/>
      <c r="D95" s="92"/>
      <c r="E95" s="92">
        <v>18</v>
      </c>
      <c r="F95" s="92">
        <v>21</v>
      </c>
      <c r="G95" s="92"/>
      <c r="H95" s="92">
        <v>25</v>
      </c>
      <c r="I95" s="92">
        <v>18</v>
      </c>
      <c r="J95" s="92">
        <v>15</v>
      </c>
      <c r="K95" s="92"/>
      <c r="L95" s="92">
        <v>21</v>
      </c>
      <c r="M95" s="92">
        <v>27</v>
      </c>
      <c r="N95" s="92" t="s">
        <v>272</v>
      </c>
      <c r="P95">
        <f t="shared" si="3"/>
        <v>157</v>
      </c>
      <c r="Q95">
        <f t="shared" si="4"/>
        <v>43.611111111111114</v>
      </c>
      <c r="R95">
        <f t="shared" si="5"/>
        <v>4.3611111111111116</v>
      </c>
    </row>
    <row r="96" spans="1:18" x14ac:dyDescent="0.25">
      <c r="A96" s="91" t="s">
        <v>101</v>
      </c>
      <c r="B96" s="92">
        <v>8</v>
      </c>
      <c r="C96" s="92"/>
      <c r="D96" s="92"/>
      <c r="E96" s="92">
        <v>13</v>
      </c>
      <c r="F96" s="92">
        <v>10</v>
      </c>
      <c r="G96" s="92">
        <v>9</v>
      </c>
      <c r="H96" s="92">
        <v>19</v>
      </c>
      <c r="I96" s="92">
        <v>14</v>
      </c>
      <c r="J96" s="92">
        <v>10</v>
      </c>
      <c r="K96" s="92">
        <v>9</v>
      </c>
      <c r="L96" s="92">
        <v>13</v>
      </c>
      <c r="M96" s="92">
        <v>16</v>
      </c>
      <c r="N96" s="92" t="s">
        <v>272</v>
      </c>
      <c r="P96">
        <f t="shared" si="3"/>
        <v>121</v>
      </c>
      <c r="Q96">
        <f t="shared" si="4"/>
        <v>33.611111111111114</v>
      </c>
      <c r="R96">
        <f t="shared" si="5"/>
        <v>3.3611111111111116</v>
      </c>
    </row>
    <row r="97" spans="1:18" x14ac:dyDescent="0.25">
      <c r="A97" s="91" t="s">
        <v>102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 t="s">
        <v>273</v>
      </c>
      <c r="P97">
        <f t="shared" si="3"/>
        <v>0</v>
      </c>
      <c r="Q97">
        <f t="shared" si="4"/>
        <v>0</v>
      </c>
      <c r="R97">
        <f t="shared" si="5"/>
        <v>0</v>
      </c>
    </row>
    <row r="98" spans="1:18" x14ac:dyDescent="0.25">
      <c r="A98" s="91" t="s">
        <v>103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 t="s">
        <v>273</v>
      </c>
      <c r="P98">
        <f t="shared" si="3"/>
        <v>0</v>
      </c>
      <c r="Q98">
        <f t="shared" si="4"/>
        <v>0</v>
      </c>
      <c r="R98">
        <f t="shared" si="5"/>
        <v>0</v>
      </c>
    </row>
    <row r="99" spans="1:18" x14ac:dyDescent="0.25">
      <c r="A99" s="91" t="s">
        <v>105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 t="s">
        <v>273</v>
      </c>
      <c r="P99">
        <f t="shared" si="3"/>
        <v>0</v>
      </c>
      <c r="Q99">
        <f t="shared" si="4"/>
        <v>0</v>
      </c>
      <c r="R99">
        <f t="shared" si="5"/>
        <v>0</v>
      </c>
    </row>
    <row r="100" spans="1:18" x14ac:dyDescent="0.25">
      <c r="A100" s="91" t="s">
        <v>106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 t="s">
        <v>273</v>
      </c>
      <c r="P100">
        <f t="shared" si="3"/>
        <v>0</v>
      </c>
      <c r="Q100">
        <f t="shared" si="4"/>
        <v>0</v>
      </c>
      <c r="R100">
        <f t="shared" si="5"/>
        <v>0</v>
      </c>
    </row>
    <row r="101" spans="1:18" x14ac:dyDescent="0.25">
      <c r="A101" s="91" t="s">
        <v>107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 t="s">
        <v>273</v>
      </c>
      <c r="P101">
        <f t="shared" si="3"/>
        <v>0</v>
      </c>
      <c r="Q101">
        <f t="shared" si="4"/>
        <v>0</v>
      </c>
      <c r="R101">
        <f t="shared" si="5"/>
        <v>0</v>
      </c>
    </row>
    <row r="102" spans="1:18" x14ac:dyDescent="0.25">
      <c r="A102" s="91" t="s">
        <v>108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 t="s">
        <v>273</v>
      </c>
      <c r="P102">
        <f t="shared" si="3"/>
        <v>0</v>
      </c>
      <c r="Q102">
        <f t="shared" si="4"/>
        <v>0</v>
      </c>
      <c r="R102">
        <f t="shared" si="5"/>
        <v>0</v>
      </c>
    </row>
    <row r="103" spans="1:18" x14ac:dyDescent="0.25">
      <c r="A103" s="91" t="s">
        <v>109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 t="s">
        <v>273</v>
      </c>
      <c r="P103">
        <f t="shared" si="3"/>
        <v>0</v>
      </c>
      <c r="Q103">
        <f t="shared" si="4"/>
        <v>0</v>
      </c>
      <c r="R103">
        <f t="shared" si="5"/>
        <v>0</v>
      </c>
    </row>
    <row r="104" spans="1:18" x14ac:dyDescent="0.25">
      <c r="A104" s="91" t="s">
        <v>110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 t="s">
        <v>273</v>
      </c>
      <c r="P104">
        <f t="shared" si="3"/>
        <v>0</v>
      </c>
      <c r="Q104">
        <f t="shared" si="4"/>
        <v>0</v>
      </c>
      <c r="R104">
        <f t="shared" si="5"/>
        <v>0</v>
      </c>
    </row>
    <row r="105" spans="1:18" x14ac:dyDescent="0.25">
      <c r="A105" s="91" t="s">
        <v>111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 t="s">
        <v>273</v>
      </c>
      <c r="P105">
        <f t="shared" si="3"/>
        <v>0</v>
      </c>
      <c r="Q105">
        <f t="shared" si="4"/>
        <v>0</v>
      </c>
      <c r="R105">
        <f t="shared" si="5"/>
        <v>0</v>
      </c>
    </row>
    <row r="106" spans="1:18" x14ac:dyDescent="0.25">
      <c r="A106" s="91" t="s">
        <v>112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 t="s">
        <v>273</v>
      </c>
      <c r="P106">
        <f t="shared" si="3"/>
        <v>0</v>
      </c>
      <c r="Q106">
        <f t="shared" si="4"/>
        <v>0</v>
      </c>
      <c r="R106">
        <f t="shared" si="5"/>
        <v>0</v>
      </c>
    </row>
    <row r="107" spans="1:18" x14ac:dyDescent="0.25">
      <c r="A107" s="91" t="s">
        <v>113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 t="s">
        <v>273</v>
      </c>
      <c r="P107">
        <f t="shared" si="3"/>
        <v>0</v>
      </c>
      <c r="Q107">
        <f t="shared" si="4"/>
        <v>0</v>
      </c>
      <c r="R107">
        <f t="shared" si="5"/>
        <v>0</v>
      </c>
    </row>
    <row r="108" spans="1:18" x14ac:dyDescent="0.25">
      <c r="A108" s="91" t="s">
        <v>114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 t="s">
        <v>273</v>
      </c>
      <c r="P108">
        <f t="shared" si="3"/>
        <v>0</v>
      </c>
      <c r="Q108">
        <f t="shared" si="4"/>
        <v>0</v>
      </c>
      <c r="R108">
        <f t="shared" si="5"/>
        <v>0</v>
      </c>
    </row>
    <row r="109" spans="1:18" x14ac:dyDescent="0.25">
      <c r="A109" s="91" t="s">
        <v>115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 t="s">
        <v>273</v>
      </c>
      <c r="P109">
        <f t="shared" si="3"/>
        <v>0</v>
      </c>
      <c r="Q109">
        <f t="shared" si="4"/>
        <v>0</v>
      </c>
      <c r="R109">
        <f t="shared" si="5"/>
        <v>0</v>
      </c>
    </row>
    <row r="110" spans="1:18" x14ac:dyDescent="0.25">
      <c r="A110" s="91" t="s">
        <v>116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 t="s">
        <v>273</v>
      </c>
      <c r="P110">
        <f t="shared" si="3"/>
        <v>0</v>
      </c>
      <c r="Q110">
        <f t="shared" si="4"/>
        <v>0</v>
      </c>
      <c r="R110">
        <f t="shared" si="5"/>
        <v>0</v>
      </c>
    </row>
    <row r="111" spans="1:18" x14ac:dyDescent="0.25">
      <c r="A111" s="91" t="s">
        <v>117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 t="s">
        <v>273</v>
      </c>
      <c r="P111">
        <f t="shared" si="3"/>
        <v>0</v>
      </c>
      <c r="Q111">
        <f t="shared" si="4"/>
        <v>0</v>
      </c>
      <c r="R111">
        <f t="shared" si="5"/>
        <v>0</v>
      </c>
    </row>
    <row r="112" spans="1:18" x14ac:dyDescent="0.25">
      <c r="A112" s="91" t="s">
        <v>118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 t="s">
        <v>273</v>
      </c>
      <c r="P112">
        <f t="shared" si="3"/>
        <v>0</v>
      </c>
      <c r="Q112">
        <f t="shared" si="4"/>
        <v>0</v>
      </c>
      <c r="R112">
        <f t="shared" si="5"/>
        <v>0</v>
      </c>
    </row>
    <row r="113" spans="1:18" x14ac:dyDescent="0.25">
      <c r="A113" s="91" t="s">
        <v>119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 t="s">
        <v>273</v>
      </c>
      <c r="P113">
        <f t="shared" si="3"/>
        <v>0</v>
      </c>
      <c r="Q113">
        <f t="shared" si="4"/>
        <v>0</v>
      </c>
      <c r="R113">
        <f t="shared" si="5"/>
        <v>0</v>
      </c>
    </row>
    <row r="114" spans="1:18" x14ac:dyDescent="0.25">
      <c r="A114" s="91" t="s">
        <v>120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 t="s">
        <v>273</v>
      </c>
      <c r="P114">
        <f t="shared" si="3"/>
        <v>0</v>
      </c>
      <c r="Q114">
        <f t="shared" si="4"/>
        <v>0</v>
      </c>
      <c r="R114">
        <f t="shared" si="5"/>
        <v>0</v>
      </c>
    </row>
    <row r="115" spans="1:18" x14ac:dyDescent="0.25">
      <c r="A115" s="91" t="s">
        <v>121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 t="s">
        <v>273</v>
      </c>
      <c r="P115">
        <f t="shared" si="3"/>
        <v>0</v>
      </c>
      <c r="Q115">
        <f t="shared" si="4"/>
        <v>0</v>
      </c>
      <c r="R115">
        <f t="shared" si="5"/>
        <v>0</v>
      </c>
    </row>
    <row r="116" spans="1:18" x14ac:dyDescent="0.25">
      <c r="A116" s="91" t="s">
        <v>122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 t="s">
        <v>273</v>
      </c>
      <c r="P116">
        <f t="shared" si="3"/>
        <v>0</v>
      </c>
      <c r="Q116">
        <f t="shared" si="4"/>
        <v>0</v>
      </c>
      <c r="R116">
        <f t="shared" si="5"/>
        <v>0</v>
      </c>
    </row>
    <row r="117" spans="1:18" x14ac:dyDescent="0.25">
      <c r="A117" s="91" t="s">
        <v>123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 t="s">
        <v>273</v>
      </c>
      <c r="P117">
        <f t="shared" si="3"/>
        <v>0</v>
      </c>
      <c r="Q117">
        <f t="shared" si="4"/>
        <v>0</v>
      </c>
      <c r="R117">
        <f t="shared" si="5"/>
        <v>0</v>
      </c>
    </row>
    <row r="118" spans="1:18" x14ac:dyDescent="0.25">
      <c r="A118" s="91" t="s">
        <v>124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 t="s">
        <v>273</v>
      </c>
      <c r="P118">
        <f t="shared" si="3"/>
        <v>0</v>
      </c>
      <c r="Q118">
        <f t="shared" si="4"/>
        <v>0</v>
      </c>
      <c r="R118">
        <f t="shared" si="5"/>
        <v>0</v>
      </c>
    </row>
    <row r="119" spans="1:18" x14ac:dyDescent="0.25">
      <c r="A119" s="91" t="s">
        <v>125</v>
      </c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 t="s">
        <v>273</v>
      </c>
      <c r="P119">
        <f t="shared" si="3"/>
        <v>0</v>
      </c>
      <c r="Q119">
        <f t="shared" si="4"/>
        <v>0</v>
      </c>
      <c r="R119">
        <f t="shared" si="5"/>
        <v>0</v>
      </c>
    </row>
    <row r="120" spans="1:18" x14ac:dyDescent="0.25">
      <c r="A120" s="91" t="s">
        <v>126</v>
      </c>
      <c r="B120" s="92">
        <v>18</v>
      </c>
      <c r="C120" s="92">
        <v>26</v>
      </c>
      <c r="D120" s="92"/>
      <c r="E120" s="92">
        <v>19</v>
      </c>
      <c r="F120" s="92">
        <v>20</v>
      </c>
      <c r="G120" s="92">
        <v>14</v>
      </c>
      <c r="H120" s="92">
        <v>25</v>
      </c>
      <c r="I120" s="92">
        <v>15</v>
      </c>
      <c r="J120" s="92"/>
      <c r="K120" s="92"/>
      <c r="L120" s="92"/>
      <c r="M120" s="92"/>
      <c r="N120" s="92" t="s">
        <v>273</v>
      </c>
      <c r="P120">
        <f t="shared" si="3"/>
        <v>137</v>
      </c>
      <c r="Q120">
        <f t="shared" si="4"/>
        <v>38.055555555555557</v>
      </c>
      <c r="R120">
        <f t="shared" si="5"/>
        <v>3.8055555555555558</v>
      </c>
    </row>
    <row r="121" spans="1:18" x14ac:dyDescent="0.25">
      <c r="A121" s="91" t="s">
        <v>127</v>
      </c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 t="s">
        <v>273</v>
      </c>
      <c r="P121">
        <f t="shared" si="3"/>
        <v>0</v>
      </c>
      <c r="Q121">
        <f t="shared" si="4"/>
        <v>0</v>
      </c>
      <c r="R121">
        <f t="shared" si="5"/>
        <v>0</v>
      </c>
    </row>
    <row r="122" spans="1:18" x14ac:dyDescent="0.25">
      <c r="A122" s="91" t="s">
        <v>128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 t="s">
        <v>273</v>
      </c>
      <c r="P122">
        <f t="shared" si="3"/>
        <v>0</v>
      </c>
      <c r="Q122">
        <f t="shared" si="4"/>
        <v>0</v>
      </c>
      <c r="R122">
        <f t="shared" si="5"/>
        <v>0</v>
      </c>
    </row>
    <row r="123" spans="1:18" x14ac:dyDescent="0.25">
      <c r="A123" s="91" t="s">
        <v>129</v>
      </c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 t="s">
        <v>273</v>
      </c>
      <c r="P123">
        <f t="shared" si="3"/>
        <v>0</v>
      </c>
      <c r="Q123">
        <f t="shared" si="4"/>
        <v>0</v>
      </c>
      <c r="R123">
        <f t="shared" si="5"/>
        <v>0</v>
      </c>
    </row>
    <row r="124" spans="1:18" x14ac:dyDescent="0.25">
      <c r="A124" s="91" t="s">
        <v>130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 t="s">
        <v>273</v>
      </c>
      <c r="P124">
        <f t="shared" si="3"/>
        <v>0</v>
      </c>
      <c r="Q124">
        <f t="shared" si="4"/>
        <v>0</v>
      </c>
      <c r="R124">
        <f t="shared" si="5"/>
        <v>0</v>
      </c>
    </row>
    <row r="125" spans="1:18" x14ac:dyDescent="0.25">
      <c r="A125" s="91" t="s">
        <v>131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 t="s">
        <v>273</v>
      </c>
      <c r="P125">
        <f t="shared" si="3"/>
        <v>0</v>
      </c>
      <c r="Q125">
        <f t="shared" si="4"/>
        <v>0</v>
      </c>
      <c r="R125">
        <f t="shared" si="5"/>
        <v>0</v>
      </c>
    </row>
    <row r="126" spans="1:18" x14ac:dyDescent="0.25">
      <c r="A126" s="91" t="s">
        <v>132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 t="s">
        <v>273</v>
      </c>
      <c r="P126">
        <f t="shared" si="3"/>
        <v>0</v>
      </c>
      <c r="Q126">
        <f t="shared" si="4"/>
        <v>0</v>
      </c>
      <c r="R126">
        <f t="shared" si="5"/>
        <v>0</v>
      </c>
    </row>
    <row r="127" spans="1:18" x14ac:dyDescent="0.25">
      <c r="A127" s="91" t="s">
        <v>133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 t="s">
        <v>273</v>
      </c>
      <c r="P127">
        <f t="shared" si="3"/>
        <v>0</v>
      </c>
      <c r="Q127">
        <f t="shared" si="4"/>
        <v>0</v>
      </c>
      <c r="R127">
        <f t="shared" si="5"/>
        <v>0</v>
      </c>
    </row>
    <row r="128" spans="1:18" x14ac:dyDescent="0.25">
      <c r="A128" s="91" t="s">
        <v>134</v>
      </c>
      <c r="B128" s="92"/>
      <c r="C128" s="92"/>
      <c r="D128" s="92">
        <v>20</v>
      </c>
      <c r="E128" s="92"/>
      <c r="F128" s="92"/>
      <c r="G128" s="92"/>
      <c r="H128" s="92"/>
      <c r="I128" s="92"/>
      <c r="J128" s="92"/>
      <c r="K128" s="92"/>
      <c r="L128" s="92"/>
      <c r="M128" s="92"/>
      <c r="N128" s="92" t="s">
        <v>273</v>
      </c>
      <c r="O128" s="92" t="s">
        <v>313</v>
      </c>
      <c r="P128">
        <f t="shared" si="3"/>
        <v>20</v>
      </c>
      <c r="Q128">
        <f t="shared" si="4"/>
        <v>5.5555555555555554</v>
      </c>
      <c r="R128">
        <f t="shared" si="5"/>
        <v>0.55555555555555558</v>
      </c>
    </row>
    <row r="129" spans="1:18" x14ac:dyDescent="0.25">
      <c r="A129" s="91" t="s">
        <v>135</v>
      </c>
      <c r="B129" s="92"/>
      <c r="C129" s="92">
        <v>25</v>
      </c>
      <c r="D129" s="92">
        <v>27</v>
      </c>
      <c r="E129" s="92"/>
      <c r="F129" s="92">
        <v>21</v>
      </c>
      <c r="G129" s="92">
        <v>18</v>
      </c>
      <c r="H129" s="92"/>
      <c r="I129" s="92"/>
      <c r="J129" s="92"/>
      <c r="K129" s="92"/>
      <c r="L129" s="92"/>
      <c r="M129" s="92"/>
      <c r="N129" s="92" t="s">
        <v>273</v>
      </c>
      <c r="P129">
        <f t="shared" si="3"/>
        <v>91</v>
      </c>
      <c r="Q129">
        <f t="shared" si="4"/>
        <v>25.277777777777779</v>
      </c>
      <c r="R129">
        <f t="shared" si="5"/>
        <v>2.5277777777777781</v>
      </c>
    </row>
    <row r="130" spans="1:18" x14ac:dyDescent="0.25">
      <c r="A130" s="91" t="s">
        <v>136</v>
      </c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 t="s">
        <v>273</v>
      </c>
      <c r="P130">
        <f t="shared" si="3"/>
        <v>0</v>
      </c>
      <c r="Q130">
        <f t="shared" si="4"/>
        <v>0</v>
      </c>
      <c r="R130">
        <f t="shared" si="5"/>
        <v>0</v>
      </c>
    </row>
    <row r="131" spans="1:18" x14ac:dyDescent="0.25">
      <c r="A131" s="91" t="s">
        <v>137</v>
      </c>
      <c r="B131" s="92">
        <v>14</v>
      </c>
      <c r="C131" s="92">
        <v>12</v>
      </c>
      <c r="D131" s="92">
        <v>19</v>
      </c>
      <c r="E131" s="92">
        <v>15</v>
      </c>
      <c r="F131" s="92">
        <v>20</v>
      </c>
      <c r="G131" s="92">
        <v>12</v>
      </c>
      <c r="H131" s="92">
        <v>24</v>
      </c>
      <c r="I131" s="92">
        <v>10</v>
      </c>
      <c r="J131" s="92">
        <v>16</v>
      </c>
      <c r="K131" s="92">
        <v>12</v>
      </c>
      <c r="L131" s="92">
        <v>25</v>
      </c>
      <c r="M131" s="92">
        <v>21</v>
      </c>
      <c r="N131" s="92" t="s">
        <v>274</v>
      </c>
      <c r="P131">
        <f t="shared" ref="P131:P194" si="6">SUM(B131:M131)</f>
        <v>200</v>
      </c>
      <c r="Q131">
        <f t="shared" ref="Q131:Q194" si="7">(P131/360)*100</f>
        <v>55.555555555555557</v>
      </c>
      <c r="R131">
        <f t="shared" ref="R131:R194" si="8">Q131*0.1</f>
        <v>5.5555555555555562</v>
      </c>
    </row>
    <row r="132" spans="1:18" x14ac:dyDescent="0.25">
      <c r="A132" s="91" t="s">
        <v>138</v>
      </c>
      <c r="B132" s="92">
        <v>9</v>
      </c>
      <c r="C132" s="92">
        <v>26</v>
      </c>
      <c r="D132" s="92">
        <v>21</v>
      </c>
      <c r="E132" s="92">
        <v>16</v>
      </c>
      <c r="F132" s="92">
        <v>18</v>
      </c>
      <c r="G132" s="92">
        <v>17</v>
      </c>
      <c r="H132" s="92">
        <v>21</v>
      </c>
      <c r="I132" s="92">
        <v>15</v>
      </c>
      <c r="J132" s="92">
        <v>21</v>
      </c>
      <c r="K132" s="92">
        <v>10</v>
      </c>
      <c r="L132" s="92">
        <v>20</v>
      </c>
      <c r="M132" s="92">
        <v>25</v>
      </c>
      <c r="N132" s="92" t="s">
        <v>274</v>
      </c>
      <c r="P132">
        <f t="shared" si="6"/>
        <v>219</v>
      </c>
      <c r="Q132">
        <f t="shared" si="7"/>
        <v>60.833333333333329</v>
      </c>
      <c r="R132">
        <f t="shared" si="8"/>
        <v>6.083333333333333</v>
      </c>
    </row>
    <row r="133" spans="1:18" x14ac:dyDescent="0.25">
      <c r="A133" s="91" t="s">
        <v>139</v>
      </c>
      <c r="B133" s="92">
        <v>13</v>
      </c>
      <c r="C133" s="92"/>
      <c r="D133" s="92"/>
      <c r="E133" s="92">
        <v>13</v>
      </c>
      <c r="F133" s="92">
        <v>17</v>
      </c>
      <c r="G133" s="92">
        <v>16</v>
      </c>
      <c r="H133" s="92">
        <v>19</v>
      </c>
      <c r="I133" s="92">
        <v>7</v>
      </c>
      <c r="J133" s="92">
        <v>18</v>
      </c>
      <c r="K133" s="92">
        <v>11</v>
      </c>
      <c r="L133" s="92">
        <v>19</v>
      </c>
      <c r="M133" s="92">
        <v>20</v>
      </c>
      <c r="N133" s="92" t="s">
        <v>274</v>
      </c>
      <c r="P133">
        <f t="shared" si="6"/>
        <v>153</v>
      </c>
      <c r="Q133">
        <f t="shared" si="7"/>
        <v>42.5</v>
      </c>
      <c r="R133">
        <f t="shared" si="8"/>
        <v>4.25</v>
      </c>
    </row>
    <row r="134" spans="1:18" x14ac:dyDescent="0.25">
      <c r="A134" s="91" t="s">
        <v>140</v>
      </c>
      <c r="B134" s="92">
        <v>8</v>
      </c>
      <c r="C134" s="92">
        <v>12</v>
      </c>
      <c r="D134" s="92">
        <v>15</v>
      </c>
      <c r="E134" s="92">
        <v>9</v>
      </c>
      <c r="F134" s="92">
        <v>14</v>
      </c>
      <c r="G134" s="92">
        <v>17</v>
      </c>
      <c r="H134" s="92">
        <v>15</v>
      </c>
      <c r="I134" s="92">
        <v>10</v>
      </c>
      <c r="J134" s="92"/>
      <c r="K134" s="92"/>
      <c r="L134" s="92">
        <v>22</v>
      </c>
      <c r="M134" s="92">
        <v>23</v>
      </c>
      <c r="N134" s="92" t="s">
        <v>274</v>
      </c>
      <c r="P134">
        <f t="shared" si="6"/>
        <v>145</v>
      </c>
      <c r="Q134">
        <f t="shared" si="7"/>
        <v>40.277777777777779</v>
      </c>
      <c r="R134">
        <f t="shared" si="8"/>
        <v>4.0277777777777777</v>
      </c>
    </row>
    <row r="135" spans="1:18" x14ac:dyDescent="0.25">
      <c r="A135" s="91" t="s">
        <v>141</v>
      </c>
      <c r="B135" s="92">
        <v>11</v>
      </c>
      <c r="C135" s="92">
        <v>21</v>
      </c>
      <c r="D135" s="92">
        <v>23</v>
      </c>
      <c r="E135" s="92">
        <v>12</v>
      </c>
      <c r="F135" s="92">
        <v>12</v>
      </c>
      <c r="G135" s="92">
        <v>7</v>
      </c>
      <c r="H135" s="92"/>
      <c r="I135" s="92"/>
      <c r="J135" s="92">
        <v>11</v>
      </c>
      <c r="K135" s="92">
        <v>13</v>
      </c>
      <c r="L135" s="92">
        <v>17</v>
      </c>
      <c r="M135" s="92">
        <v>19</v>
      </c>
      <c r="N135" s="92" t="s">
        <v>274</v>
      </c>
      <c r="P135">
        <f t="shared" si="6"/>
        <v>146</v>
      </c>
      <c r="Q135">
        <f t="shared" si="7"/>
        <v>40.555555555555557</v>
      </c>
      <c r="R135">
        <f t="shared" si="8"/>
        <v>4.0555555555555562</v>
      </c>
    </row>
    <row r="136" spans="1:18" x14ac:dyDescent="0.25">
      <c r="A136" s="91" t="s">
        <v>142</v>
      </c>
      <c r="B136" s="92">
        <v>10</v>
      </c>
      <c r="C136" s="92">
        <v>15</v>
      </c>
      <c r="D136" s="92"/>
      <c r="E136" s="92"/>
      <c r="F136" s="92"/>
      <c r="G136" s="92">
        <v>30</v>
      </c>
      <c r="H136" s="92">
        <v>30</v>
      </c>
      <c r="I136" s="92">
        <v>26</v>
      </c>
      <c r="J136" s="92"/>
      <c r="K136" s="92"/>
      <c r="L136" s="92"/>
      <c r="M136" s="92"/>
      <c r="N136" s="92" t="s">
        <v>274</v>
      </c>
      <c r="P136">
        <f t="shared" si="6"/>
        <v>111</v>
      </c>
      <c r="Q136">
        <f t="shared" si="7"/>
        <v>30.833333333333336</v>
      </c>
      <c r="R136">
        <f t="shared" si="8"/>
        <v>3.0833333333333339</v>
      </c>
    </row>
    <row r="137" spans="1:18" x14ac:dyDescent="0.25">
      <c r="A137" s="91" t="s">
        <v>143</v>
      </c>
      <c r="B137" s="92">
        <v>3</v>
      </c>
      <c r="C137" s="92">
        <v>17</v>
      </c>
      <c r="D137" s="92">
        <v>24</v>
      </c>
      <c r="E137" s="92">
        <v>11</v>
      </c>
      <c r="F137" s="92">
        <v>11</v>
      </c>
      <c r="G137" s="92">
        <v>11</v>
      </c>
      <c r="H137" s="92">
        <v>16</v>
      </c>
      <c r="I137" s="92">
        <v>20</v>
      </c>
      <c r="J137" s="92">
        <v>16</v>
      </c>
      <c r="K137" s="92">
        <v>11</v>
      </c>
      <c r="L137" s="92">
        <v>16</v>
      </c>
      <c r="M137" s="92">
        <v>24</v>
      </c>
      <c r="N137" s="92" t="s">
        <v>274</v>
      </c>
      <c r="P137">
        <f t="shared" si="6"/>
        <v>180</v>
      </c>
      <c r="Q137">
        <f t="shared" si="7"/>
        <v>50</v>
      </c>
      <c r="R137">
        <f t="shared" si="8"/>
        <v>5</v>
      </c>
    </row>
    <row r="138" spans="1:18" x14ac:dyDescent="0.25">
      <c r="A138" s="91" t="s">
        <v>144</v>
      </c>
      <c r="B138" s="92">
        <v>9</v>
      </c>
      <c r="C138" s="92">
        <v>13</v>
      </c>
      <c r="D138" s="92">
        <v>23</v>
      </c>
      <c r="E138" s="92">
        <v>17</v>
      </c>
      <c r="F138" s="92"/>
      <c r="G138" s="92"/>
      <c r="H138" s="92">
        <v>19</v>
      </c>
      <c r="I138" s="92">
        <v>12</v>
      </c>
      <c r="J138" s="92">
        <v>17</v>
      </c>
      <c r="K138" s="92">
        <v>8</v>
      </c>
      <c r="L138" s="92">
        <v>21</v>
      </c>
      <c r="M138" s="92">
        <v>26</v>
      </c>
      <c r="N138" s="92" t="s">
        <v>274</v>
      </c>
      <c r="P138">
        <f t="shared" si="6"/>
        <v>165</v>
      </c>
      <c r="Q138">
        <f t="shared" si="7"/>
        <v>45.833333333333329</v>
      </c>
      <c r="R138">
        <f t="shared" si="8"/>
        <v>4.583333333333333</v>
      </c>
    </row>
    <row r="139" spans="1:18" x14ac:dyDescent="0.25">
      <c r="A139" s="91" t="s">
        <v>145</v>
      </c>
      <c r="B139" s="92">
        <v>15</v>
      </c>
      <c r="C139" s="92">
        <v>14</v>
      </c>
      <c r="D139" s="92">
        <v>20</v>
      </c>
      <c r="E139" s="92">
        <v>12</v>
      </c>
      <c r="F139" s="92">
        <v>15</v>
      </c>
      <c r="G139" s="92">
        <v>18</v>
      </c>
      <c r="H139" s="92">
        <v>15</v>
      </c>
      <c r="I139" s="92">
        <v>14</v>
      </c>
      <c r="J139" s="92">
        <v>6</v>
      </c>
      <c r="K139" s="92">
        <v>9</v>
      </c>
      <c r="L139" s="92">
        <v>14</v>
      </c>
      <c r="M139" s="92">
        <v>17</v>
      </c>
      <c r="N139" s="92" t="s">
        <v>274</v>
      </c>
      <c r="P139">
        <f t="shared" si="6"/>
        <v>169</v>
      </c>
      <c r="Q139">
        <f t="shared" si="7"/>
        <v>46.944444444444443</v>
      </c>
      <c r="R139">
        <f t="shared" si="8"/>
        <v>4.6944444444444446</v>
      </c>
    </row>
    <row r="140" spans="1:18" x14ac:dyDescent="0.25">
      <c r="A140" s="91" t="s">
        <v>146</v>
      </c>
      <c r="B140" s="92">
        <v>26</v>
      </c>
      <c r="C140" s="92">
        <v>27</v>
      </c>
      <c r="D140" s="92">
        <v>30</v>
      </c>
      <c r="E140" s="92">
        <v>23</v>
      </c>
      <c r="F140" s="92">
        <v>20</v>
      </c>
      <c r="G140" s="92">
        <v>13</v>
      </c>
      <c r="H140" s="92">
        <v>16</v>
      </c>
      <c r="I140" s="92">
        <v>8</v>
      </c>
      <c r="J140" s="92">
        <v>24</v>
      </c>
      <c r="K140" s="92">
        <v>18</v>
      </c>
      <c r="L140" s="92">
        <v>22</v>
      </c>
      <c r="M140" s="92">
        <v>27</v>
      </c>
      <c r="N140" s="92" t="s">
        <v>274</v>
      </c>
      <c r="P140">
        <f t="shared" si="6"/>
        <v>254</v>
      </c>
      <c r="Q140">
        <f t="shared" si="7"/>
        <v>70.555555555555557</v>
      </c>
      <c r="R140">
        <f t="shared" si="8"/>
        <v>7.0555555555555562</v>
      </c>
    </row>
    <row r="141" spans="1:18" x14ac:dyDescent="0.25">
      <c r="A141" s="91" t="s">
        <v>147</v>
      </c>
      <c r="B141" s="92">
        <v>28</v>
      </c>
      <c r="C141" s="92">
        <v>22</v>
      </c>
      <c r="D141" s="92">
        <v>30</v>
      </c>
      <c r="E141" s="92"/>
      <c r="F141" s="92"/>
      <c r="G141" s="92"/>
      <c r="H141" s="92">
        <v>29</v>
      </c>
      <c r="I141" s="92">
        <v>21</v>
      </c>
      <c r="J141" s="92">
        <v>23</v>
      </c>
      <c r="K141" s="92">
        <v>16</v>
      </c>
      <c r="L141" s="92">
        <v>27</v>
      </c>
      <c r="M141" s="92">
        <v>28</v>
      </c>
      <c r="N141" s="92" t="s">
        <v>274</v>
      </c>
      <c r="P141">
        <f t="shared" si="6"/>
        <v>224</v>
      </c>
      <c r="Q141">
        <f t="shared" si="7"/>
        <v>62.222222222222221</v>
      </c>
      <c r="R141">
        <f t="shared" si="8"/>
        <v>6.2222222222222223</v>
      </c>
    </row>
    <row r="142" spans="1:18" x14ac:dyDescent="0.25">
      <c r="A142" s="91" t="s">
        <v>148</v>
      </c>
      <c r="B142" s="92">
        <v>28</v>
      </c>
      <c r="C142" s="92">
        <v>21</v>
      </c>
      <c r="D142" s="92">
        <v>25</v>
      </c>
      <c r="E142" s="92">
        <v>29</v>
      </c>
      <c r="F142" s="92">
        <v>27</v>
      </c>
      <c r="G142" s="92">
        <v>29</v>
      </c>
      <c r="H142" s="92">
        <v>25</v>
      </c>
      <c r="I142" s="92">
        <v>18</v>
      </c>
      <c r="J142" s="92"/>
      <c r="K142" s="92">
        <v>14</v>
      </c>
      <c r="L142" s="92">
        <v>23</v>
      </c>
      <c r="M142" s="92">
        <v>27</v>
      </c>
      <c r="N142" s="92" t="s">
        <v>274</v>
      </c>
      <c r="P142">
        <f t="shared" si="6"/>
        <v>266</v>
      </c>
      <c r="Q142">
        <f t="shared" si="7"/>
        <v>73.888888888888886</v>
      </c>
      <c r="R142">
        <f t="shared" si="8"/>
        <v>7.3888888888888893</v>
      </c>
    </row>
    <row r="143" spans="1:18" x14ac:dyDescent="0.25">
      <c r="A143" s="91" t="s">
        <v>149</v>
      </c>
      <c r="B143" s="92">
        <v>5</v>
      </c>
      <c r="C143" s="92">
        <v>11</v>
      </c>
      <c r="D143" s="92">
        <v>13</v>
      </c>
      <c r="E143" s="92">
        <v>10</v>
      </c>
      <c r="F143" s="92"/>
      <c r="G143" s="92">
        <v>5</v>
      </c>
      <c r="H143" s="92">
        <v>15</v>
      </c>
      <c r="I143" s="92">
        <v>8</v>
      </c>
      <c r="J143" s="92">
        <v>15</v>
      </c>
      <c r="K143" s="92">
        <v>6</v>
      </c>
      <c r="L143" s="92">
        <v>15</v>
      </c>
      <c r="M143" s="92">
        <v>18</v>
      </c>
      <c r="N143" s="92" t="s">
        <v>274</v>
      </c>
      <c r="P143">
        <f t="shared" si="6"/>
        <v>121</v>
      </c>
      <c r="Q143">
        <f t="shared" si="7"/>
        <v>33.611111111111114</v>
      </c>
      <c r="R143">
        <f t="shared" si="8"/>
        <v>3.3611111111111116</v>
      </c>
    </row>
    <row r="144" spans="1:18" x14ac:dyDescent="0.25">
      <c r="A144" s="91" t="s">
        <v>150</v>
      </c>
      <c r="B144" s="92">
        <v>13</v>
      </c>
      <c r="C144" s="92">
        <v>21</v>
      </c>
      <c r="D144" s="92">
        <v>22</v>
      </c>
      <c r="E144" s="92">
        <v>13</v>
      </c>
      <c r="F144" s="92">
        <v>7</v>
      </c>
      <c r="G144" s="92">
        <v>15</v>
      </c>
      <c r="H144" s="92">
        <v>17</v>
      </c>
      <c r="I144" s="92">
        <v>10</v>
      </c>
      <c r="J144" s="92">
        <v>15</v>
      </c>
      <c r="K144" s="92">
        <v>11</v>
      </c>
      <c r="L144" s="92">
        <v>22</v>
      </c>
      <c r="M144" s="92">
        <v>26</v>
      </c>
      <c r="N144" s="92" t="s">
        <v>274</v>
      </c>
      <c r="P144">
        <f t="shared" si="6"/>
        <v>192</v>
      </c>
      <c r="Q144">
        <f t="shared" si="7"/>
        <v>53.333333333333336</v>
      </c>
      <c r="R144">
        <f t="shared" si="8"/>
        <v>5.3333333333333339</v>
      </c>
    </row>
    <row r="145" spans="1:18" x14ac:dyDescent="0.25">
      <c r="A145" s="91" t="s">
        <v>151</v>
      </c>
      <c r="B145" s="92">
        <v>8</v>
      </c>
      <c r="C145" s="92">
        <v>10</v>
      </c>
      <c r="D145" s="92">
        <v>18</v>
      </c>
      <c r="E145" s="92">
        <v>10</v>
      </c>
      <c r="F145" s="92">
        <v>9</v>
      </c>
      <c r="G145" s="92">
        <v>7</v>
      </c>
      <c r="H145" s="92"/>
      <c r="I145" s="92"/>
      <c r="J145" s="92">
        <v>17</v>
      </c>
      <c r="K145" s="92">
        <v>10</v>
      </c>
      <c r="L145" s="92">
        <v>18</v>
      </c>
      <c r="M145" s="92">
        <v>21</v>
      </c>
      <c r="N145" s="92" t="s">
        <v>274</v>
      </c>
      <c r="P145">
        <f t="shared" si="6"/>
        <v>128</v>
      </c>
      <c r="Q145">
        <f t="shared" si="7"/>
        <v>35.555555555555557</v>
      </c>
      <c r="R145">
        <f t="shared" si="8"/>
        <v>3.5555555555555558</v>
      </c>
    </row>
    <row r="146" spans="1:18" x14ac:dyDescent="0.25">
      <c r="A146" s="91" t="s">
        <v>152</v>
      </c>
      <c r="B146" s="92"/>
      <c r="C146" s="92"/>
      <c r="D146" s="92">
        <v>21</v>
      </c>
      <c r="E146" s="92"/>
      <c r="F146" s="92"/>
      <c r="G146" s="92"/>
      <c r="H146" s="92">
        <v>18</v>
      </c>
      <c r="I146" s="92">
        <v>14</v>
      </c>
      <c r="J146" s="92">
        <v>20</v>
      </c>
      <c r="K146" s="92">
        <v>10</v>
      </c>
      <c r="L146" s="92"/>
      <c r="M146" s="92">
        <v>27</v>
      </c>
      <c r="N146" s="92" t="s">
        <v>274</v>
      </c>
      <c r="P146">
        <f t="shared" si="6"/>
        <v>110</v>
      </c>
      <c r="Q146">
        <f t="shared" si="7"/>
        <v>30.555555555555557</v>
      </c>
      <c r="R146">
        <f t="shared" si="8"/>
        <v>3.0555555555555558</v>
      </c>
    </row>
    <row r="147" spans="1:18" x14ac:dyDescent="0.25">
      <c r="A147" s="91" t="s">
        <v>153</v>
      </c>
      <c r="B147" s="92">
        <v>8</v>
      </c>
      <c r="C147" s="92">
        <v>9</v>
      </c>
      <c r="D147" s="92">
        <v>18</v>
      </c>
      <c r="E147" s="92">
        <v>8</v>
      </c>
      <c r="F147" s="92">
        <v>26</v>
      </c>
      <c r="G147" s="92">
        <v>19</v>
      </c>
      <c r="H147" s="92">
        <v>18</v>
      </c>
      <c r="I147" s="92">
        <v>12</v>
      </c>
      <c r="J147" s="92">
        <v>12</v>
      </c>
      <c r="K147" s="92">
        <v>9</v>
      </c>
      <c r="L147" s="92">
        <v>13</v>
      </c>
      <c r="M147" s="92">
        <v>21</v>
      </c>
      <c r="N147" s="92" t="s">
        <v>274</v>
      </c>
      <c r="P147">
        <f t="shared" si="6"/>
        <v>173</v>
      </c>
      <c r="Q147">
        <f t="shared" si="7"/>
        <v>48.055555555555557</v>
      </c>
      <c r="R147">
        <f t="shared" si="8"/>
        <v>4.8055555555555562</v>
      </c>
    </row>
    <row r="148" spans="1:18" x14ac:dyDescent="0.25">
      <c r="A148" s="91" t="s">
        <v>154</v>
      </c>
      <c r="B148" s="92">
        <v>7</v>
      </c>
      <c r="C148" s="92">
        <v>10</v>
      </c>
      <c r="D148" s="92">
        <v>18</v>
      </c>
      <c r="E148" s="92">
        <v>16</v>
      </c>
      <c r="F148" s="92">
        <v>12</v>
      </c>
      <c r="G148" s="92">
        <v>10</v>
      </c>
      <c r="H148" s="92">
        <v>18</v>
      </c>
      <c r="I148" s="92">
        <v>11</v>
      </c>
      <c r="J148" s="92">
        <v>13</v>
      </c>
      <c r="K148" s="92">
        <v>6</v>
      </c>
      <c r="L148" s="92">
        <v>17</v>
      </c>
      <c r="M148" s="92">
        <v>18</v>
      </c>
      <c r="N148" s="92" t="s">
        <v>274</v>
      </c>
      <c r="P148">
        <f t="shared" si="6"/>
        <v>156</v>
      </c>
      <c r="Q148">
        <f t="shared" si="7"/>
        <v>43.333333333333336</v>
      </c>
      <c r="R148">
        <f t="shared" si="8"/>
        <v>4.3333333333333339</v>
      </c>
    </row>
    <row r="149" spans="1:18" x14ac:dyDescent="0.25">
      <c r="A149" s="91" t="s">
        <v>155</v>
      </c>
      <c r="B149" s="92">
        <v>13</v>
      </c>
      <c r="C149" s="92">
        <v>24</v>
      </c>
      <c r="D149" s="92">
        <v>24</v>
      </c>
      <c r="E149" s="92">
        <v>20</v>
      </c>
      <c r="F149" s="92">
        <v>12</v>
      </c>
      <c r="G149" s="92">
        <v>18</v>
      </c>
      <c r="H149" s="92">
        <v>20</v>
      </c>
      <c r="I149" s="92">
        <v>19</v>
      </c>
      <c r="J149" s="92">
        <v>22</v>
      </c>
      <c r="K149" s="92">
        <v>14</v>
      </c>
      <c r="L149" s="92">
        <v>19</v>
      </c>
      <c r="M149" s="92">
        <v>24</v>
      </c>
      <c r="N149" s="92" t="s">
        <v>274</v>
      </c>
      <c r="P149">
        <f t="shared" si="6"/>
        <v>229</v>
      </c>
      <c r="Q149">
        <f t="shared" si="7"/>
        <v>63.611111111111107</v>
      </c>
      <c r="R149">
        <f t="shared" si="8"/>
        <v>6.3611111111111107</v>
      </c>
    </row>
    <row r="150" spans="1:18" x14ac:dyDescent="0.25">
      <c r="A150" s="91" t="s">
        <v>156</v>
      </c>
      <c r="B150" s="92">
        <v>5</v>
      </c>
      <c r="C150" s="92">
        <v>12</v>
      </c>
      <c r="D150" s="92">
        <v>25</v>
      </c>
      <c r="E150" s="92">
        <v>7</v>
      </c>
      <c r="F150" s="92">
        <v>27</v>
      </c>
      <c r="G150" s="92">
        <v>19</v>
      </c>
      <c r="H150" s="92">
        <v>23</v>
      </c>
      <c r="I150" s="92">
        <v>17</v>
      </c>
      <c r="J150" s="92"/>
      <c r="K150" s="92"/>
      <c r="L150" s="92"/>
      <c r="M150" s="92"/>
      <c r="N150" s="92" t="s">
        <v>274</v>
      </c>
      <c r="P150">
        <f t="shared" si="6"/>
        <v>135</v>
      </c>
      <c r="Q150">
        <f t="shared" si="7"/>
        <v>37.5</v>
      </c>
      <c r="R150">
        <f t="shared" si="8"/>
        <v>3.75</v>
      </c>
    </row>
    <row r="151" spans="1:18" x14ac:dyDescent="0.25">
      <c r="A151" s="91" t="s">
        <v>157</v>
      </c>
      <c r="B151" s="92">
        <v>11</v>
      </c>
      <c r="C151" s="92">
        <v>18</v>
      </c>
      <c r="D151" s="92">
        <v>19</v>
      </c>
      <c r="E151" s="92">
        <v>14</v>
      </c>
      <c r="F151" s="92">
        <v>18</v>
      </c>
      <c r="G151" s="92">
        <v>14</v>
      </c>
      <c r="H151" s="92">
        <v>20</v>
      </c>
      <c r="I151" s="92">
        <v>17</v>
      </c>
      <c r="J151" s="92"/>
      <c r="K151" s="92"/>
      <c r="L151" s="92">
        <v>21</v>
      </c>
      <c r="M151" s="92">
        <v>25</v>
      </c>
      <c r="N151" s="92" t="s">
        <v>274</v>
      </c>
      <c r="P151">
        <f t="shared" si="6"/>
        <v>177</v>
      </c>
      <c r="Q151">
        <f t="shared" si="7"/>
        <v>49.166666666666664</v>
      </c>
      <c r="R151">
        <f t="shared" si="8"/>
        <v>4.916666666666667</v>
      </c>
    </row>
    <row r="152" spans="1:18" x14ac:dyDescent="0.25">
      <c r="A152" s="91" t="s">
        <v>158</v>
      </c>
      <c r="B152" s="92">
        <v>10</v>
      </c>
      <c r="C152" s="92">
        <v>20</v>
      </c>
      <c r="D152" s="92">
        <v>23</v>
      </c>
      <c r="E152" s="92">
        <v>16</v>
      </c>
      <c r="F152" s="92">
        <v>18</v>
      </c>
      <c r="G152" s="92">
        <v>12</v>
      </c>
      <c r="H152" s="92">
        <v>21</v>
      </c>
      <c r="I152" s="92">
        <v>21</v>
      </c>
      <c r="J152" s="92">
        <v>21</v>
      </c>
      <c r="K152" s="92">
        <v>12</v>
      </c>
      <c r="L152" s="92">
        <v>22</v>
      </c>
      <c r="M152" s="92">
        <v>26</v>
      </c>
      <c r="N152" s="92" t="s">
        <v>274</v>
      </c>
      <c r="P152">
        <f t="shared" si="6"/>
        <v>222</v>
      </c>
      <c r="Q152">
        <f t="shared" si="7"/>
        <v>61.666666666666671</v>
      </c>
      <c r="R152">
        <f t="shared" si="8"/>
        <v>6.1666666666666679</v>
      </c>
    </row>
    <row r="153" spans="1:18" x14ac:dyDescent="0.25">
      <c r="A153" s="91" t="s">
        <v>159</v>
      </c>
      <c r="B153" s="92">
        <v>15</v>
      </c>
      <c r="C153" s="92">
        <v>18</v>
      </c>
      <c r="D153" s="92">
        <v>20</v>
      </c>
      <c r="E153" s="92">
        <v>12</v>
      </c>
      <c r="F153" s="92">
        <v>13</v>
      </c>
      <c r="G153" s="92">
        <v>13</v>
      </c>
      <c r="H153" s="92">
        <v>20</v>
      </c>
      <c r="I153" s="92">
        <v>17</v>
      </c>
      <c r="J153" s="92">
        <v>21</v>
      </c>
      <c r="K153" s="92">
        <v>13</v>
      </c>
      <c r="L153" s="92">
        <v>20</v>
      </c>
      <c r="M153" s="92">
        <v>25</v>
      </c>
      <c r="N153" s="92" t="s">
        <v>274</v>
      </c>
      <c r="P153">
        <f t="shared" si="6"/>
        <v>207</v>
      </c>
      <c r="Q153">
        <f t="shared" si="7"/>
        <v>57.499999999999993</v>
      </c>
      <c r="R153">
        <f t="shared" si="8"/>
        <v>5.75</v>
      </c>
    </row>
    <row r="154" spans="1:18" x14ac:dyDescent="0.25">
      <c r="A154" s="91" t="s">
        <v>160</v>
      </c>
      <c r="B154" s="92">
        <v>17</v>
      </c>
      <c r="C154" s="92">
        <v>22</v>
      </c>
      <c r="D154" s="92">
        <v>17</v>
      </c>
      <c r="E154" s="92">
        <v>22</v>
      </c>
      <c r="F154" s="92">
        <v>8</v>
      </c>
      <c r="G154" s="92">
        <v>14</v>
      </c>
      <c r="H154" s="92">
        <v>12</v>
      </c>
      <c r="I154" s="92">
        <v>10</v>
      </c>
      <c r="J154" s="92"/>
      <c r="K154" s="92"/>
      <c r="L154" s="92">
        <v>22</v>
      </c>
      <c r="M154" s="92">
        <v>29</v>
      </c>
      <c r="N154" s="92" t="s">
        <v>274</v>
      </c>
      <c r="P154">
        <f t="shared" si="6"/>
        <v>173</v>
      </c>
      <c r="Q154">
        <f t="shared" si="7"/>
        <v>48.055555555555557</v>
      </c>
      <c r="R154">
        <f t="shared" si="8"/>
        <v>4.8055555555555562</v>
      </c>
    </row>
    <row r="155" spans="1:18" x14ac:dyDescent="0.25">
      <c r="A155" s="91" t="s">
        <v>161</v>
      </c>
      <c r="B155" s="92">
        <v>11</v>
      </c>
      <c r="C155" s="92">
        <v>10</v>
      </c>
      <c r="D155" s="92">
        <v>23</v>
      </c>
      <c r="E155" s="92">
        <v>10</v>
      </c>
      <c r="F155" s="92">
        <v>13</v>
      </c>
      <c r="G155" s="92">
        <v>14</v>
      </c>
      <c r="H155" s="92">
        <v>19</v>
      </c>
      <c r="I155" s="92">
        <v>5</v>
      </c>
      <c r="J155" s="92">
        <v>16</v>
      </c>
      <c r="K155" s="92">
        <v>8</v>
      </c>
      <c r="L155" s="92">
        <v>21</v>
      </c>
      <c r="M155" s="92">
        <v>29</v>
      </c>
      <c r="N155" s="92" t="s">
        <v>274</v>
      </c>
      <c r="P155">
        <f t="shared" si="6"/>
        <v>179</v>
      </c>
      <c r="Q155">
        <f t="shared" si="7"/>
        <v>49.722222222222221</v>
      </c>
      <c r="R155">
        <f t="shared" si="8"/>
        <v>4.9722222222222223</v>
      </c>
    </row>
    <row r="156" spans="1:18" x14ac:dyDescent="0.25">
      <c r="A156" s="91" t="s">
        <v>162</v>
      </c>
      <c r="B156" s="92">
        <v>17</v>
      </c>
      <c r="C156" s="92">
        <v>24</v>
      </c>
      <c r="D156" s="92">
        <v>24</v>
      </c>
      <c r="E156" s="92">
        <v>16</v>
      </c>
      <c r="F156" s="92">
        <v>19</v>
      </c>
      <c r="G156" s="92">
        <v>16</v>
      </c>
      <c r="H156" s="92">
        <v>19</v>
      </c>
      <c r="I156" s="92">
        <v>16</v>
      </c>
      <c r="J156" s="92">
        <v>23</v>
      </c>
      <c r="K156" s="92"/>
      <c r="L156" s="92">
        <v>21</v>
      </c>
      <c r="M156" s="92">
        <v>29</v>
      </c>
      <c r="N156" s="92" t="s">
        <v>274</v>
      </c>
      <c r="P156">
        <f t="shared" si="6"/>
        <v>224</v>
      </c>
      <c r="Q156">
        <f t="shared" si="7"/>
        <v>62.222222222222221</v>
      </c>
      <c r="R156">
        <f t="shared" si="8"/>
        <v>6.2222222222222223</v>
      </c>
    </row>
    <row r="157" spans="1:18" x14ac:dyDescent="0.25">
      <c r="A157" s="91" t="s">
        <v>163</v>
      </c>
      <c r="B157" s="92">
        <v>14</v>
      </c>
      <c r="C157" s="92">
        <v>11</v>
      </c>
      <c r="D157" s="92">
        <v>18</v>
      </c>
      <c r="E157" s="92">
        <v>13</v>
      </c>
      <c r="F157" s="92">
        <v>14</v>
      </c>
      <c r="G157" s="92">
        <v>11</v>
      </c>
      <c r="H157" s="92">
        <v>20</v>
      </c>
      <c r="I157" s="92">
        <v>25</v>
      </c>
      <c r="J157" s="92">
        <v>24</v>
      </c>
      <c r="K157" s="92">
        <v>16</v>
      </c>
      <c r="L157" s="92">
        <v>26</v>
      </c>
      <c r="M157" s="92">
        <v>27</v>
      </c>
      <c r="N157" s="92" t="s">
        <v>274</v>
      </c>
      <c r="P157">
        <f t="shared" si="6"/>
        <v>219</v>
      </c>
      <c r="Q157">
        <f t="shared" si="7"/>
        <v>60.833333333333329</v>
      </c>
      <c r="R157">
        <f t="shared" si="8"/>
        <v>6.083333333333333</v>
      </c>
    </row>
    <row r="158" spans="1:18" x14ac:dyDescent="0.25">
      <c r="A158" s="91" t="s">
        <v>164</v>
      </c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>
        <v>17</v>
      </c>
      <c r="M158" s="92">
        <v>21</v>
      </c>
      <c r="N158" s="92" t="s">
        <v>274</v>
      </c>
      <c r="P158">
        <f t="shared" si="6"/>
        <v>38</v>
      </c>
      <c r="Q158">
        <f t="shared" si="7"/>
        <v>10.555555555555555</v>
      </c>
      <c r="R158">
        <f t="shared" si="8"/>
        <v>1.0555555555555556</v>
      </c>
    </row>
    <row r="159" spans="1:18" x14ac:dyDescent="0.25">
      <c r="A159" s="91" t="s">
        <v>165</v>
      </c>
      <c r="B159" s="92">
        <v>11</v>
      </c>
      <c r="C159" s="92">
        <v>14</v>
      </c>
      <c r="D159" s="92">
        <v>24</v>
      </c>
      <c r="E159" s="92">
        <v>7</v>
      </c>
      <c r="F159" s="92">
        <v>13</v>
      </c>
      <c r="G159" s="92">
        <v>11</v>
      </c>
      <c r="H159" s="92">
        <v>20</v>
      </c>
      <c r="I159" s="92">
        <v>14</v>
      </c>
      <c r="J159" s="92">
        <v>14</v>
      </c>
      <c r="K159" s="92">
        <v>6</v>
      </c>
      <c r="L159" s="92">
        <v>20</v>
      </c>
      <c r="M159" s="92">
        <v>24</v>
      </c>
      <c r="N159" s="92" t="s">
        <v>274</v>
      </c>
      <c r="P159">
        <f t="shared" si="6"/>
        <v>178</v>
      </c>
      <c r="Q159">
        <f t="shared" si="7"/>
        <v>49.444444444444443</v>
      </c>
      <c r="R159">
        <f t="shared" si="8"/>
        <v>4.9444444444444446</v>
      </c>
    </row>
    <row r="160" spans="1:18" x14ac:dyDescent="0.25">
      <c r="A160" s="91" t="s">
        <v>166</v>
      </c>
      <c r="B160" s="92">
        <v>6</v>
      </c>
      <c r="C160" s="92">
        <v>12</v>
      </c>
      <c r="D160" s="92">
        <v>16</v>
      </c>
      <c r="E160" s="92">
        <v>16</v>
      </c>
      <c r="F160" s="92">
        <v>11</v>
      </c>
      <c r="G160" s="92">
        <v>11</v>
      </c>
      <c r="H160" s="92">
        <v>21</v>
      </c>
      <c r="I160" s="92">
        <v>29</v>
      </c>
      <c r="J160" s="92">
        <v>27</v>
      </c>
      <c r="K160" s="92">
        <v>17</v>
      </c>
      <c r="L160" s="92">
        <v>27</v>
      </c>
      <c r="M160" s="92">
        <v>28</v>
      </c>
      <c r="N160" s="92" t="s">
        <v>274</v>
      </c>
      <c r="P160">
        <f t="shared" si="6"/>
        <v>221</v>
      </c>
      <c r="Q160">
        <f t="shared" si="7"/>
        <v>61.388888888888893</v>
      </c>
      <c r="R160">
        <f t="shared" si="8"/>
        <v>6.1388888888888893</v>
      </c>
    </row>
    <row r="161" spans="1:18" x14ac:dyDescent="0.25">
      <c r="A161" s="91" t="s">
        <v>167</v>
      </c>
      <c r="B161" s="92">
        <v>11</v>
      </c>
      <c r="C161" s="92">
        <v>19</v>
      </c>
      <c r="D161" s="92">
        <v>20</v>
      </c>
      <c r="E161" s="92">
        <v>16</v>
      </c>
      <c r="F161" s="92">
        <v>11</v>
      </c>
      <c r="G161" s="92">
        <v>10</v>
      </c>
      <c r="H161" s="92">
        <v>18</v>
      </c>
      <c r="I161" s="92">
        <v>14</v>
      </c>
      <c r="J161" s="92"/>
      <c r="K161" s="92"/>
      <c r="L161" s="92">
        <v>17</v>
      </c>
      <c r="M161" s="92">
        <v>24</v>
      </c>
      <c r="N161" s="92" t="s">
        <v>274</v>
      </c>
      <c r="P161">
        <f t="shared" si="6"/>
        <v>160</v>
      </c>
      <c r="Q161">
        <f t="shared" si="7"/>
        <v>44.444444444444443</v>
      </c>
      <c r="R161">
        <f t="shared" si="8"/>
        <v>4.4444444444444446</v>
      </c>
    </row>
    <row r="162" spans="1:18" x14ac:dyDescent="0.25">
      <c r="A162" s="91" t="s">
        <v>168</v>
      </c>
      <c r="B162" s="92">
        <v>8</v>
      </c>
      <c r="C162" s="92">
        <v>17</v>
      </c>
      <c r="D162" s="92">
        <v>18</v>
      </c>
      <c r="E162" s="92">
        <v>12</v>
      </c>
      <c r="F162" s="92">
        <v>9</v>
      </c>
      <c r="G162" s="92">
        <v>10</v>
      </c>
      <c r="H162" s="92">
        <v>19</v>
      </c>
      <c r="I162" s="92">
        <v>11</v>
      </c>
      <c r="J162" s="92">
        <v>16</v>
      </c>
      <c r="K162" s="92">
        <v>11</v>
      </c>
      <c r="L162" s="92">
        <v>17</v>
      </c>
      <c r="M162" s="92">
        <v>22</v>
      </c>
      <c r="N162" s="92" t="s">
        <v>274</v>
      </c>
      <c r="P162">
        <f t="shared" si="6"/>
        <v>170</v>
      </c>
      <c r="Q162">
        <f t="shared" si="7"/>
        <v>47.222222222222221</v>
      </c>
      <c r="R162">
        <f t="shared" si="8"/>
        <v>4.7222222222222223</v>
      </c>
    </row>
    <row r="163" spans="1:18" x14ac:dyDescent="0.25">
      <c r="A163" s="91" t="s">
        <v>169</v>
      </c>
      <c r="B163" s="92">
        <v>11</v>
      </c>
      <c r="C163" s="92">
        <v>18</v>
      </c>
      <c r="D163" s="92">
        <v>19</v>
      </c>
      <c r="E163" s="92">
        <v>14</v>
      </c>
      <c r="F163" s="92">
        <v>28</v>
      </c>
      <c r="G163" s="92">
        <v>30</v>
      </c>
      <c r="H163" s="92">
        <v>28</v>
      </c>
      <c r="I163" s="92">
        <v>26</v>
      </c>
      <c r="J163" s="92"/>
      <c r="K163" s="92"/>
      <c r="L163" s="92">
        <v>30</v>
      </c>
      <c r="M163" s="92">
        <v>28</v>
      </c>
      <c r="N163" s="92" t="s">
        <v>274</v>
      </c>
      <c r="P163">
        <f t="shared" si="6"/>
        <v>232</v>
      </c>
      <c r="Q163">
        <f t="shared" si="7"/>
        <v>64.444444444444443</v>
      </c>
      <c r="R163">
        <f t="shared" si="8"/>
        <v>6.4444444444444446</v>
      </c>
    </row>
    <row r="164" spans="1:18" x14ac:dyDescent="0.25">
      <c r="A164" s="91" t="s">
        <v>170</v>
      </c>
      <c r="B164" s="92"/>
      <c r="C164" s="92">
        <v>17</v>
      </c>
      <c r="D164" s="92"/>
      <c r="E164" s="92"/>
      <c r="F164" s="92"/>
      <c r="G164" s="92"/>
      <c r="H164" s="92">
        <v>17</v>
      </c>
      <c r="I164" s="92">
        <v>12</v>
      </c>
      <c r="J164" s="92"/>
      <c r="K164" s="92"/>
      <c r="L164" s="92">
        <v>25</v>
      </c>
      <c r="M164" s="92">
        <v>25</v>
      </c>
      <c r="N164" s="92" t="s">
        <v>274</v>
      </c>
      <c r="P164">
        <f t="shared" si="6"/>
        <v>96</v>
      </c>
      <c r="Q164">
        <f t="shared" si="7"/>
        <v>26.666666666666668</v>
      </c>
      <c r="R164">
        <f t="shared" si="8"/>
        <v>2.666666666666667</v>
      </c>
    </row>
    <row r="165" spans="1:18" ht="15" customHeight="1" x14ac:dyDescent="0.25">
      <c r="A165" s="91" t="s">
        <v>171</v>
      </c>
      <c r="B165" s="92">
        <v>29</v>
      </c>
      <c r="C165" s="92">
        <v>26</v>
      </c>
      <c r="D165" s="92">
        <v>19</v>
      </c>
      <c r="E165" s="92">
        <v>30</v>
      </c>
      <c r="F165" s="92">
        <v>28</v>
      </c>
      <c r="G165" s="92">
        <v>26</v>
      </c>
      <c r="H165" s="92">
        <v>23</v>
      </c>
      <c r="I165" s="92">
        <v>28</v>
      </c>
      <c r="J165" s="92"/>
      <c r="K165" s="92"/>
      <c r="L165" s="92">
        <v>29</v>
      </c>
      <c r="M165" s="92">
        <v>29</v>
      </c>
      <c r="N165" s="92" t="s">
        <v>275</v>
      </c>
      <c r="P165">
        <f t="shared" si="6"/>
        <v>267</v>
      </c>
      <c r="Q165">
        <f t="shared" si="7"/>
        <v>74.166666666666671</v>
      </c>
      <c r="R165">
        <f t="shared" si="8"/>
        <v>7.4166666666666679</v>
      </c>
    </row>
    <row r="166" spans="1:18" x14ac:dyDescent="0.25">
      <c r="A166" s="91" t="s">
        <v>172</v>
      </c>
      <c r="B166" s="92">
        <v>18</v>
      </c>
      <c r="C166" s="92">
        <v>25</v>
      </c>
      <c r="D166" s="92">
        <v>19</v>
      </c>
      <c r="E166" s="92">
        <v>17</v>
      </c>
      <c r="F166" s="92">
        <v>11</v>
      </c>
      <c r="G166" s="92">
        <v>17</v>
      </c>
      <c r="H166" s="92">
        <v>16</v>
      </c>
      <c r="I166" s="92">
        <v>12</v>
      </c>
      <c r="J166" s="92">
        <v>21</v>
      </c>
      <c r="K166" s="92">
        <v>5</v>
      </c>
      <c r="L166" s="92">
        <v>21</v>
      </c>
      <c r="M166" s="92">
        <v>27</v>
      </c>
      <c r="N166" s="92" t="s">
        <v>275</v>
      </c>
      <c r="P166">
        <f t="shared" si="6"/>
        <v>209</v>
      </c>
      <c r="Q166">
        <f t="shared" si="7"/>
        <v>58.055555555555557</v>
      </c>
      <c r="R166">
        <f t="shared" si="8"/>
        <v>5.8055555555555562</v>
      </c>
    </row>
    <row r="167" spans="1:18" x14ac:dyDescent="0.25">
      <c r="A167" s="91" t="s">
        <v>173</v>
      </c>
      <c r="B167" s="92">
        <v>7</v>
      </c>
      <c r="C167" s="92">
        <v>9</v>
      </c>
      <c r="D167" s="92">
        <v>15</v>
      </c>
      <c r="E167" s="92">
        <v>15</v>
      </c>
      <c r="F167" s="92">
        <v>10</v>
      </c>
      <c r="G167" s="92">
        <v>16</v>
      </c>
      <c r="H167" s="92">
        <v>25</v>
      </c>
      <c r="I167" s="92">
        <v>17</v>
      </c>
      <c r="J167" s="92">
        <v>20</v>
      </c>
      <c r="K167" s="92">
        <v>20</v>
      </c>
      <c r="L167" s="92">
        <v>3</v>
      </c>
      <c r="M167" s="92"/>
      <c r="N167" s="92" t="s">
        <v>275</v>
      </c>
      <c r="P167">
        <f t="shared" si="6"/>
        <v>157</v>
      </c>
      <c r="Q167">
        <f t="shared" si="7"/>
        <v>43.611111111111114</v>
      </c>
      <c r="R167">
        <f t="shared" si="8"/>
        <v>4.3611111111111116</v>
      </c>
    </row>
    <row r="168" spans="1:18" x14ac:dyDescent="0.25">
      <c r="A168" s="91" t="s">
        <v>174</v>
      </c>
      <c r="B168" s="93">
        <v>22</v>
      </c>
      <c r="C168" s="92">
        <v>21</v>
      </c>
      <c r="D168" s="92">
        <v>23</v>
      </c>
      <c r="E168" s="93">
        <v>18</v>
      </c>
      <c r="F168" s="92">
        <v>18</v>
      </c>
      <c r="G168" s="92">
        <v>17</v>
      </c>
      <c r="H168" s="92"/>
      <c r="I168" s="92"/>
      <c r="J168" s="92">
        <v>21</v>
      </c>
      <c r="K168" s="92">
        <v>15</v>
      </c>
      <c r="L168" s="92">
        <v>19</v>
      </c>
      <c r="M168" s="92">
        <v>27</v>
      </c>
      <c r="N168" s="92" t="s">
        <v>275</v>
      </c>
      <c r="P168">
        <f t="shared" si="6"/>
        <v>201</v>
      </c>
      <c r="Q168">
        <f t="shared" si="7"/>
        <v>55.833333333333336</v>
      </c>
      <c r="R168">
        <f t="shared" si="8"/>
        <v>5.5833333333333339</v>
      </c>
    </row>
    <row r="169" spans="1:18" x14ac:dyDescent="0.25">
      <c r="A169" s="91" t="s">
        <v>175</v>
      </c>
      <c r="B169" s="92">
        <v>11</v>
      </c>
      <c r="C169" s="92">
        <v>23</v>
      </c>
      <c r="D169" s="92">
        <v>24</v>
      </c>
      <c r="E169" s="92">
        <v>13</v>
      </c>
      <c r="F169" s="92"/>
      <c r="G169" s="92"/>
      <c r="H169" s="92">
        <v>29</v>
      </c>
      <c r="I169" s="92">
        <v>20</v>
      </c>
      <c r="J169" s="92"/>
      <c r="K169" s="92"/>
      <c r="L169" s="92">
        <v>27</v>
      </c>
      <c r="M169" s="92">
        <v>28</v>
      </c>
      <c r="N169" s="92" t="s">
        <v>275</v>
      </c>
      <c r="P169">
        <f t="shared" si="6"/>
        <v>175</v>
      </c>
      <c r="Q169">
        <f t="shared" si="7"/>
        <v>48.611111111111107</v>
      </c>
      <c r="R169">
        <f t="shared" si="8"/>
        <v>4.8611111111111107</v>
      </c>
    </row>
    <row r="170" spans="1:18" x14ac:dyDescent="0.25">
      <c r="A170" s="91" t="s">
        <v>176</v>
      </c>
      <c r="B170" s="92">
        <v>13</v>
      </c>
      <c r="C170" s="92">
        <v>16</v>
      </c>
      <c r="D170" s="92">
        <v>15</v>
      </c>
      <c r="E170" s="92">
        <v>13</v>
      </c>
      <c r="F170" s="92">
        <v>8</v>
      </c>
      <c r="G170" s="92">
        <v>7</v>
      </c>
      <c r="H170" s="92">
        <v>18</v>
      </c>
      <c r="I170" s="92">
        <v>16</v>
      </c>
      <c r="J170" s="92">
        <v>16</v>
      </c>
      <c r="K170" s="92">
        <v>7</v>
      </c>
      <c r="L170" s="92">
        <v>14</v>
      </c>
      <c r="M170" s="92">
        <v>25</v>
      </c>
      <c r="N170" s="92" t="s">
        <v>275</v>
      </c>
      <c r="P170">
        <f t="shared" si="6"/>
        <v>168</v>
      </c>
      <c r="Q170">
        <f t="shared" si="7"/>
        <v>46.666666666666664</v>
      </c>
      <c r="R170">
        <f t="shared" si="8"/>
        <v>4.666666666666667</v>
      </c>
    </row>
    <row r="171" spans="1:18" x14ac:dyDescent="0.25">
      <c r="A171" s="91" t="s">
        <v>177</v>
      </c>
      <c r="B171" s="92">
        <v>10</v>
      </c>
      <c r="C171" s="92"/>
      <c r="D171" s="92"/>
      <c r="E171" s="92">
        <v>9</v>
      </c>
      <c r="F171" s="92">
        <v>15</v>
      </c>
      <c r="G171" s="92">
        <v>11</v>
      </c>
      <c r="H171" s="92"/>
      <c r="I171" s="92"/>
      <c r="J171" s="92">
        <v>10</v>
      </c>
      <c r="K171" s="92">
        <v>6</v>
      </c>
      <c r="L171" s="92"/>
      <c r="M171" s="92"/>
      <c r="N171" s="92" t="s">
        <v>275</v>
      </c>
      <c r="P171">
        <f t="shared" si="6"/>
        <v>61</v>
      </c>
      <c r="Q171">
        <f t="shared" si="7"/>
        <v>16.944444444444446</v>
      </c>
      <c r="R171">
        <f t="shared" si="8"/>
        <v>1.6944444444444446</v>
      </c>
    </row>
    <row r="172" spans="1:18" x14ac:dyDescent="0.25">
      <c r="A172" s="91" t="s">
        <v>314</v>
      </c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>
        <v>13</v>
      </c>
      <c r="M172" s="92">
        <v>23</v>
      </c>
      <c r="N172" s="89" t="s">
        <v>276</v>
      </c>
      <c r="P172">
        <f t="shared" si="6"/>
        <v>36</v>
      </c>
      <c r="Q172">
        <f t="shared" si="7"/>
        <v>10</v>
      </c>
      <c r="R172">
        <f t="shared" si="8"/>
        <v>1</v>
      </c>
    </row>
    <row r="173" spans="1:18" x14ac:dyDescent="0.25">
      <c r="A173" s="91" t="s">
        <v>179</v>
      </c>
      <c r="B173" s="92"/>
      <c r="C173" s="92">
        <v>13</v>
      </c>
      <c r="D173" s="92">
        <v>19</v>
      </c>
      <c r="E173" s="92"/>
      <c r="F173" s="92"/>
      <c r="G173" s="92"/>
      <c r="H173" s="92"/>
      <c r="I173" s="92"/>
      <c r="J173" s="92"/>
      <c r="K173" s="92"/>
      <c r="L173" s="92"/>
      <c r="M173" s="92"/>
      <c r="N173" s="89" t="s">
        <v>276</v>
      </c>
      <c r="P173">
        <f t="shared" si="6"/>
        <v>32</v>
      </c>
      <c r="Q173">
        <f t="shared" si="7"/>
        <v>8.8888888888888893</v>
      </c>
      <c r="R173">
        <f t="shared" si="8"/>
        <v>0.88888888888888895</v>
      </c>
    </row>
    <row r="174" spans="1:18" x14ac:dyDescent="0.25">
      <c r="A174" s="91" t="s">
        <v>180</v>
      </c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89" t="s">
        <v>276</v>
      </c>
      <c r="P174">
        <f t="shared" si="6"/>
        <v>0</v>
      </c>
      <c r="Q174">
        <f t="shared" si="7"/>
        <v>0</v>
      </c>
      <c r="R174">
        <f t="shared" si="8"/>
        <v>0</v>
      </c>
    </row>
    <row r="175" spans="1:18" x14ac:dyDescent="0.25">
      <c r="A175" s="91" t="s">
        <v>181</v>
      </c>
      <c r="B175" s="92"/>
      <c r="C175" s="92"/>
      <c r="D175" s="92"/>
      <c r="E175" s="92"/>
      <c r="F175" s="92">
        <v>16</v>
      </c>
      <c r="G175" s="92">
        <v>10</v>
      </c>
      <c r="H175" s="92">
        <v>16</v>
      </c>
      <c r="I175" s="92">
        <v>11</v>
      </c>
      <c r="J175" s="92">
        <v>14</v>
      </c>
      <c r="K175" s="92">
        <v>8</v>
      </c>
      <c r="L175" s="92">
        <v>16</v>
      </c>
      <c r="M175" s="92">
        <v>24</v>
      </c>
      <c r="N175" s="89" t="s">
        <v>276</v>
      </c>
      <c r="P175">
        <f t="shared" si="6"/>
        <v>115</v>
      </c>
      <c r="Q175">
        <f t="shared" si="7"/>
        <v>31.944444444444443</v>
      </c>
      <c r="R175">
        <f t="shared" si="8"/>
        <v>3.1944444444444446</v>
      </c>
    </row>
    <row r="176" spans="1:18" x14ac:dyDescent="0.25">
      <c r="A176" s="91" t="s">
        <v>182</v>
      </c>
      <c r="B176" s="92"/>
      <c r="C176" s="92">
        <v>9</v>
      </c>
      <c r="D176" s="92">
        <v>20</v>
      </c>
      <c r="E176" s="92"/>
      <c r="F176" s="92"/>
      <c r="G176" s="92"/>
      <c r="H176" s="92"/>
      <c r="I176" s="92"/>
      <c r="J176" s="92"/>
      <c r="K176" s="92"/>
      <c r="L176" s="92"/>
      <c r="M176" s="92"/>
      <c r="N176" s="89" t="s">
        <v>276</v>
      </c>
      <c r="P176">
        <f t="shared" si="6"/>
        <v>29</v>
      </c>
      <c r="Q176">
        <f t="shared" si="7"/>
        <v>8.0555555555555554</v>
      </c>
      <c r="R176">
        <f t="shared" si="8"/>
        <v>0.80555555555555558</v>
      </c>
    </row>
    <row r="177" spans="1:18" x14ac:dyDescent="0.25">
      <c r="A177" s="91" t="s">
        <v>315</v>
      </c>
      <c r="B177" s="92"/>
      <c r="C177" s="92"/>
      <c r="D177" s="92"/>
      <c r="E177" s="92"/>
      <c r="F177" s="92"/>
      <c r="G177" s="92"/>
      <c r="H177" s="92">
        <v>19</v>
      </c>
      <c r="I177" s="92">
        <v>12</v>
      </c>
      <c r="J177" s="92">
        <v>12</v>
      </c>
      <c r="K177" s="92">
        <v>10</v>
      </c>
      <c r="L177" s="92">
        <v>20</v>
      </c>
      <c r="M177" s="92"/>
      <c r="N177" s="89" t="s">
        <v>276</v>
      </c>
      <c r="P177">
        <f t="shared" si="6"/>
        <v>73</v>
      </c>
      <c r="Q177">
        <f t="shared" si="7"/>
        <v>20.277777777777779</v>
      </c>
      <c r="R177">
        <f t="shared" si="8"/>
        <v>2.0277777777777781</v>
      </c>
    </row>
    <row r="178" spans="1:18" x14ac:dyDescent="0.25">
      <c r="A178" s="91" t="s">
        <v>184</v>
      </c>
      <c r="B178" s="92"/>
      <c r="C178" s="92"/>
      <c r="D178" s="92"/>
      <c r="E178" s="92"/>
      <c r="F178" s="92">
        <v>21</v>
      </c>
      <c r="G178" s="92"/>
      <c r="H178" s="92">
        <v>23</v>
      </c>
      <c r="I178" s="92">
        <v>11</v>
      </c>
      <c r="J178" s="92"/>
      <c r="K178" s="92"/>
      <c r="L178" s="92">
        <v>20</v>
      </c>
      <c r="M178" s="92"/>
      <c r="N178" s="89" t="s">
        <v>276</v>
      </c>
      <c r="P178">
        <f t="shared" si="6"/>
        <v>75</v>
      </c>
      <c r="Q178">
        <f t="shared" si="7"/>
        <v>20.833333333333336</v>
      </c>
      <c r="R178">
        <f t="shared" si="8"/>
        <v>2.0833333333333335</v>
      </c>
    </row>
    <row r="179" spans="1:18" x14ac:dyDescent="0.25">
      <c r="A179" s="91" t="s">
        <v>185</v>
      </c>
      <c r="B179" s="92"/>
      <c r="C179" s="92"/>
      <c r="D179" s="92"/>
      <c r="E179" s="92"/>
      <c r="F179" s="92"/>
      <c r="G179" s="92"/>
      <c r="K179" s="92"/>
      <c r="L179" s="92">
        <v>29</v>
      </c>
      <c r="M179" s="92">
        <v>29</v>
      </c>
      <c r="N179" s="89" t="s">
        <v>276</v>
      </c>
      <c r="P179">
        <f t="shared" si="6"/>
        <v>58</v>
      </c>
      <c r="Q179">
        <f t="shared" si="7"/>
        <v>16.111111111111111</v>
      </c>
      <c r="R179">
        <f t="shared" si="8"/>
        <v>1.6111111111111112</v>
      </c>
    </row>
    <row r="180" spans="1:18" x14ac:dyDescent="0.25">
      <c r="A180" s="91" t="s">
        <v>186</v>
      </c>
      <c r="B180" s="92">
        <v>26</v>
      </c>
      <c r="C180" s="92">
        <v>26</v>
      </c>
      <c r="D180" s="92">
        <v>29</v>
      </c>
      <c r="E180" s="92">
        <v>26</v>
      </c>
      <c r="F180" s="92">
        <v>24</v>
      </c>
      <c r="G180" s="92">
        <v>24</v>
      </c>
      <c r="H180" s="92">
        <v>27</v>
      </c>
      <c r="I180" s="92">
        <v>26</v>
      </c>
      <c r="J180" s="92">
        <v>28</v>
      </c>
      <c r="K180" s="92">
        <v>20</v>
      </c>
      <c r="L180" s="92">
        <v>29</v>
      </c>
      <c r="M180" s="92">
        <v>30</v>
      </c>
      <c r="N180" s="92" t="s">
        <v>277</v>
      </c>
      <c r="P180">
        <f t="shared" si="6"/>
        <v>315</v>
      </c>
      <c r="Q180">
        <f t="shared" si="7"/>
        <v>87.5</v>
      </c>
      <c r="R180">
        <f t="shared" si="8"/>
        <v>8.75</v>
      </c>
    </row>
    <row r="181" spans="1:18" x14ac:dyDescent="0.25">
      <c r="A181" s="91" t="s">
        <v>187</v>
      </c>
      <c r="B181" s="92">
        <v>15</v>
      </c>
      <c r="C181" s="92">
        <v>21</v>
      </c>
      <c r="D181" s="92">
        <v>24</v>
      </c>
      <c r="E181" s="92">
        <v>22</v>
      </c>
      <c r="F181" s="92">
        <v>21</v>
      </c>
      <c r="G181" s="92">
        <v>20</v>
      </c>
      <c r="H181" s="92">
        <v>22</v>
      </c>
      <c r="I181" s="92">
        <v>14</v>
      </c>
      <c r="J181" s="92">
        <v>20</v>
      </c>
      <c r="K181" s="92">
        <v>13</v>
      </c>
      <c r="L181" s="92">
        <v>21</v>
      </c>
      <c r="M181" s="92">
        <v>23</v>
      </c>
      <c r="N181" s="92" t="s">
        <v>277</v>
      </c>
      <c r="P181">
        <f t="shared" si="6"/>
        <v>236</v>
      </c>
      <c r="Q181">
        <f t="shared" si="7"/>
        <v>65.555555555555557</v>
      </c>
      <c r="R181">
        <f t="shared" si="8"/>
        <v>6.5555555555555562</v>
      </c>
    </row>
    <row r="182" spans="1:18" x14ac:dyDescent="0.25">
      <c r="A182" s="91" t="s">
        <v>188</v>
      </c>
      <c r="B182" s="92">
        <v>14</v>
      </c>
      <c r="C182" s="92">
        <v>17</v>
      </c>
      <c r="D182" s="92">
        <v>26</v>
      </c>
      <c r="E182" s="92"/>
      <c r="F182" s="92">
        <v>22</v>
      </c>
      <c r="G182" s="92">
        <v>15</v>
      </c>
      <c r="H182" s="92">
        <v>22</v>
      </c>
      <c r="I182" s="92">
        <v>19</v>
      </c>
      <c r="J182" s="92">
        <v>12</v>
      </c>
      <c r="K182" s="92">
        <v>9</v>
      </c>
      <c r="L182" s="92">
        <v>17</v>
      </c>
      <c r="M182" s="92">
        <v>24</v>
      </c>
      <c r="N182" s="92" t="s">
        <v>277</v>
      </c>
      <c r="P182">
        <f t="shared" si="6"/>
        <v>197</v>
      </c>
      <c r="Q182">
        <f t="shared" si="7"/>
        <v>54.722222222222229</v>
      </c>
      <c r="R182">
        <f t="shared" si="8"/>
        <v>5.4722222222222232</v>
      </c>
    </row>
    <row r="183" spans="1:18" x14ac:dyDescent="0.25">
      <c r="A183" s="91" t="s">
        <v>189</v>
      </c>
      <c r="B183" s="92">
        <v>13</v>
      </c>
      <c r="C183" s="92">
        <v>26</v>
      </c>
      <c r="D183" s="92">
        <v>28</v>
      </c>
      <c r="E183" s="92">
        <v>27</v>
      </c>
      <c r="F183" s="92">
        <v>28</v>
      </c>
      <c r="G183" s="92">
        <v>28</v>
      </c>
      <c r="H183" s="92">
        <v>25</v>
      </c>
      <c r="I183" s="92">
        <v>26</v>
      </c>
      <c r="J183" s="92">
        <v>27</v>
      </c>
      <c r="K183" s="92">
        <v>17</v>
      </c>
      <c r="L183" s="92">
        <v>28</v>
      </c>
      <c r="M183" s="92">
        <v>30</v>
      </c>
      <c r="N183" s="92" t="s">
        <v>277</v>
      </c>
      <c r="P183">
        <f t="shared" si="6"/>
        <v>303</v>
      </c>
      <c r="Q183">
        <f t="shared" si="7"/>
        <v>84.166666666666671</v>
      </c>
      <c r="R183">
        <f t="shared" si="8"/>
        <v>8.4166666666666679</v>
      </c>
    </row>
    <row r="184" spans="1:18" x14ac:dyDescent="0.25">
      <c r="A184" s="91" t="s">
        <v>190</v>
      </c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 t="s">
        <v>277</v>
      </c>
      <c r="P184">
        <f t="shared" si="6"/>
        <v>0</v>
      </c>
      <c r="Q184">
        <f t="shared" si="7"/>
        <v>0</v>
      </c>
      <c r="R184">
        <f t="shared" si="8"/>
        <v>0</v>
      </c>
    </row>
    <row r="185" spans="1:18" x14ac:dyDescent="0.25">
      <c r="A185" s="91" t="s">
        <v>191</v>
      </c>
      <c r="B185" s="92">
        <v>23</v>
      </c>
      <c r="C185" s="92">
        <v>23</v>
      </c>
      <c r="D185" s="92"/>
      <c r="E185" s="92">
        <v>24</v>
      </c>
      <c r="F185" s="92">
        <v>22</v>
      </c>
      <c r="G185" s="92">
        <v>16</v>
      </c>
      <c r="H185" s="92">
        <v>26</v>
      </c>
      <c r="I185" s="92">
        <v>24</v>
      </c>
      <c r="J185" s="92">
        <v>23</v>
      </c>
      <c r="K185" s="92">
        <v>20</v>
      </c>
      <c r="L185" s="92">
        <v>25</v>
      </c>
      <c r="M185" s="92">
        <v>27</v>
      </c>
      <c r="N185" s="92" t="s">
        <v>277</v>
      </c>
      <c r="P185">
        <f t="shared" si="6"/>
        <v>253</v>
      </c>
      <c r="Q185">
        <f t="shared" si="7"/>
        <v>70.277777777777771</v>
      </c>
      <c r="R185">
        <f t="shared" si="8"/>
        <v>7.0277777777777777</v>
      </c>
    </row>
    <row r="186" spans="1:18" x14ac:dyDescent="0.25">
      <c r="A186" s="91" t="s">
        <v>192</v>
      </c>
      <c r="B186" s="92">
        <v>22</v>
      </c>
      <c r="C186" s="92">
        <v>27</v>
      </c>
      <c r="D186" s="92">
        <v>30</v>
      </c>
      <c r="E186" s="92">
        <v>29</v>
      </c>
      <c r="F186" s="92">
        <v>27</v>
      </c>
      <c r="G186" s="92">
        <v>27</v>
      </c>
      <c r="H186" s="92">
        <v>25</v>
      </c>
      <c r="I186" s="92">
        <v>26</v>
      </c>
      <c r="J186" s="92">
        <v>25</v>
      </c>
      <c r="K186" s="92">
        <v>16</v>
      </c>
      <c r="L186" s="92">
        <v>29</v>
      </c>
      <c r="M186" s="92">
        <v>29</v>
      </c>
      <c r="N186" s="92" t="s">
        <v>277</v>
      </c>
      <c r="P186">
        <f t="shared" si="6"/>
        <v>312</v>
      </c>
      <c r="Q186">
        <f t="shared" si="7"/>
        <v>86.666666666666671</v>
      </c>
      <c r="R186">
        <f t="shared" si="8"/>
        <v>8.6666666666666679</v>
      </c>
    </row>
    <row r="187" spans="1:18" x14ac:dyDescent="0.25">
      <c r="A187" s="91" t="s">
        <v>193</v>
      </c>
      <c r="B187" s="92">
        <v>24</v>
      </c>
      <c r="C187" s="92">
        <v>13</v>
      </c>
      <c r="D187" s="92">
        <v>24</v>
      </c>
      <c r="E187" s="92">
        <v>14</v>
      </c>
      <c r="F187" s="92">
        <v>21</v>
      </c>
      <c r="G187" s="92">
        <v>17</v>
      </c>
      <c r="H187" s="92">
        <v>25</v>
      </c>
      <c r="I187" s="92">
        <v>22</v>
      </c>
      <c r="J187" s="92">
        <v>23</v>
      </c>
      <c r="K187" s="92">
        <v>18</v>
      </c>
      <c r="L187" s="92">
        <v>29</v>
      </c>
      <c r="M187" s="92">
        <v>27</v>
      </c>
      <c r="N187" s="92" t="s">
        <v>277</v>
      </c>
      <c r="P187">
        <f t="shared" si="6"/>
        <v>257</v>
      </c>
      <c r="Q187">
        <f t="shared" si="7"/>
        <v>71.388888888888886</v>
      </c>
      <c r="R187">
        <f t="shared" si="8"/>
        <v>7.1388888888888893</v>
      </c>
    </row>
    <row r="188" spans="1:18" x14ac:dyDescent="0.25">
      <c r="A188" s="91" t="s">
        <v>194</v>
      </c>
      <c r="B188" s="92">
        <v>11</v>
      </c>
      <c r="C188" s="92">
        <v>25</v>
      </c>
      <c r="D188" s="92">
        <v>28</v>
      </c>
      <c r="E188" s="92">
        <v>23</v>
      </c>
      <c r="F188" s="92">
        <v>29</v>
      </c>
      <c r="G188" s="92">
        <v>25</v>
      </c>
      <c r="H188" s="92">
        <v>29</v>
      </c>
      <c r="I188" s="92">
        <v>23</v>
      </c>
      <c r="J188" s="92">
        <v>23</v>
      </c>
      <c r="K188" s="92">
        <v>22</v>
      </c>
      <c r="L188" s="92">
        <v>26</v>
      </c>
      <c r="M188" s="92">
        <v>29</v>
      </c>
      <c r="N188" s="92" t="s">
        <v>277</v>
      </c>
      <c r="P188">
        <f t="shared" si="6"/>
        <v>293</v>
      </c>
      <c r="Q188">
        <f t="shared" si="7"/>
        <v>81.388888888888886</v>
      </c>
      <c r="R188">
        <f t="shared" si="8"/>
        <v>8.1388888888888893</v>
      </c>
    </row>
    <row r="189" spans="1:18" x14ac:dyDescent="0.25">
      <c r="A189" s="91" t="s">
        <v>195</v>
      </c>
      <c r="B189" s="92">
        <v>13</v>
      </c>
      <c r="C189" s="92">
        <v>25</v>
      </c>
      <c r="D189" s="92">
        <v>26</v>
      </c>
      <c r="E189" s="92">
        <v>19</v>
      </c>
      <c r="F189" s="92">
        <v>27</v>
      </c>
      <c r="G189" s="92">
        <v>27</v>
      </c>
      <c r="H189" s="92">
        <v>24</v>
      </c>
      <c r="I189" s="92">
        <v>16</v>
      </c>
      <c r="J189" s="92">
        <v>22</v>
      </c>
      <c r="K189" s="92">
        <v>20</v>
      </c>
      <c r="L189" s="92">
        <v>30</v>
      </c>
      <c r="M189" s="92">
        <v>26</v>
      </c>
      <c r="N189" s="92" t="s">
        <v>277</v>
      </c>
      <c r="P189">
        <f t="shared" si="6"/>
        <v>275</v>
      </c>
      <c r="Q189">
        <f t="shared" si="7"/>
        <v>76.388888888888886</v>
      </c>
      <c r="R189">
        <f t="shared" si="8"/>
        <v>7.6388888888888893</v>
      </c>
    </row>
    <row r="190" spans="1:18" x14ac:dyDescent="0.25">
      <c r="A190" s="91" t="s">
        <v>196</v>
      </c>
      <c r="B190" s="92">
        <v>11</v>
      </c>
      <c r="C190" s="92">
        <v>20</v>
      </c>
      <c r="D190" s="92">
        <v>24</v>
      </c>
      <c r="E190" s="92">
        <v>19</v>
      </c>
      <c r="F190" s="92">
        <v>6</v>
      </c>
      <c r="G190" s="92">
        <v>16</v>
      </c>
      <c r="H190" s="92">
        <v>19</v>
      </c>
      <c r="I190" s="92">
        <v>13</v>
      </c>
      <c r="J190" s="92">
        <v>17</v>
      </c>
      <c r="K190" s="92">
        <v>11</v>
      </c>
      <c r="L190" s="92">
        <v>18</v>
      </c>
      <c r="M190" s="92">
        <v>26</v>
      </c>
      <c r="N190" s="92" t="s">
        <v>277</v>
      </c>
      <c r="P190">
        <f t="shared" si="6"/>
        <v>200</v>
      </c>
      <c r="Q190">
        <f t="shared" si="7"/>
        <v>55.555555555555557</v>
      </c>
      <c r="R190">
        <f t="shared" si="8"/>
        <v>5.5555555555555562</v>
      </c>
    </row>
    <row r="191" spans="1:18" x14ac:dyDescent="0.25">
      <c r="A191" s="91" t="s">
        <v>197</v>
      </c>
      <c r="B191" s="92">
        <v>25</v>
      </c>
      <c r="C191" s="92">
        <v>25</v>
      </c>
      <c r="D191" s="92">
        <v>22</v>
      </c>
      <c r="E191" s="92">
        <v>12</v>
      </c>
      <c r="F191" s="92">
        <v>14</v>
      </c>
      <c r="G191" s="92">
        <v>18</v>
      </c>
      <c r="H191" s="92">
        <v>20</v>
      </c>
      <c r="I191" s="92">
        <v>15</v>
      </c>
      <c r="J191" s="92">
        <v>15</v>
      </c>
      <c r="K191" s="92">
        <v>12</v>
      </c>
      <c r="L191" s="92">
        <v>18</v>
      </c>
      <c r="M191" s="92">
        <v>22</v>
      </c>
      <c r="N191" s="92" t="s">
        <v>277</v>
      </c>
      <c r="P191">
        <f t="shared" si="6"/>
        <v>218</v>
      </c>
      <c r="Q191">
        <f t="shared" si="7"/>
        <v>60.55555555555555</v>
      </c>
      <c r="R191">
        <f t="shared" si="8"/>
        <v>6.0555555555555554</v>
      </c>
    </row>
    <row r="192" spans="1:18" x14ac:dyDescent="0.25">
      <c r="A192" s="91" t="s">
        <v>198</v>
      </c>
      <c r="B192" s="92">
        <v>10</v>
      </c>
      <c r="C192" s="92">
        <v>10</v>
      </c>
      <c r="D192" s="92">
        <v>20</v>
      </c>
      <c r="E192" s="92">
        <v>12</v>
      </c>
      <c r="F192" s="92">
        <v>10</v>
      </c>
      <c r="G192" s="92">
        <v>15</v>
      </c>
      <c r="H192" s="92">
        <v>21</v>
      </c>
      <c r="I192" s="92">
        <v>12</v>
      </c>
      <c r="J192" s="92">
        <v>10</v>
      </c>
      <c r="K192" s="92">
        <v>10</v>
      </c>
      <c r="L192" s="92">
        <v>18</v>
      </c>
      <c r="M192" s="92">
        <v>25</v>
      </c>
      <c r="N192" s="92" t="s">
        <v>277</v>
      </c>
      <c r="P192">
        <f t="shared" si="6"/>
        <v>173</v>
      </c>
      <c r="Q192">
        <f t="shared" si="7"/>
        <v>48.055555555555557</v>
      </c>
      <c r="R192">
        <f t="shared" si="8"/>
        <v>4.8055555555555562</v>
      </c>
    </row>
    <row r="193" spans="1:18" x14ac:dyDescent="0.25">
      <c r="A193" s="91" t="s">
        <v>199</v>
      </c>
      <c r="B193" s="92">
        <v>6</v>
      </c>
      <c r="C193" s="92">
        <v>13</v>
      </c>
      <c r="D193" s="92">
        <v>21</v>
      </c>
      <c r="E193" s="92">
        <v>16</v>
      </c>
      <c r="F193" s="92">
        <v>20</v>
      </c>
      <c r="G193" s="92">
        <v>15</v>
      </c>
      <c r="H193" s="92">
        <v>25</v>
      </c>
      <c r="I193" s="92">
        <v>18</v>
      </c>
      <c r="J193" s="92">
        <v>19</v>
      </c>
      <c r="K193" s="92">
        <v>12</v>
      </c>
      <c r="L193" s="92">
        <v>29</v>
      </c>
      <c r="M193" s="92">
        <v>29</v>
      </c>
      <c r="N193" s="92" t="s">
        <v>277</v>
      </c>
      <c r="P193">
        <f t="shared" si="6"/>
        <v>223</v>
      </c>
      <c r="Q193">
        <f t="shared" si="7"/>
        <v>61.944444444444443</v>
      </c>
      <c r="R193">
        <f t="shared" si="8"/>
        <v>6.1944444444444446</v>
      </c>
    </row>
    <row r="194" spans="1:18" x14ac:dyDescent="0.25">
      <c r="A194" s="91" t="s">
        <v>200</v>
      </c>
      <c r="B194" s="92">
        <v>12</v>
      </c>
      <c r="C194" s="92">
        <v>23</v>
      </c>
      <c r="D194" s="92">
        <v>28</v>
      </c>
      <c r="E194" s="92">
        <v>17</v>
      </c>
      <c r="F194" s="92">
        <v>19</v>
      </c>
      <c r="G194" s="92">
        <v>17</v>
      </c>
      <c r="H194" s="92">
        <v>21</v>
      </c>
      <c r="I194" s="92">
        <v>12</v>
      </c>
      <c r="J194" s="92">
        <v>21</v>
      </c>
      <c r="K194" s="92">
        <v>13</v>
      </c>
      <c r="L194" s="92">
        <v>19</v>
      </c>
      <c r="M194" s="92">
        <v>27</v>
      </c>
      <c r="N194" s="92" t="s">
        <v>277</v>
      </c>
      <c r="P194">
        <f t="shared" si="6"/>
        <v>229</v>
      </c>
      <c r="Q194">
        <f t="shared" si="7"/>
        <v>63.611111111111107</v>
      </c>
      <c r="R194">
        <f t="shared" si="8"/>
        <v>6.3611111111111107</v>
      </c>
    </row>
    <row r="195" spans="1:18" x14ac:dyDescent="0.25">
      <c r="A195" s="91" t="s">
        <v>201</v>
      </c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 t="s">
        <v>277</v>
      </c>
      <c r="P195">
        <f t="shared" ref="P195:P244" si="9">SUM(B195:M195)</f>
        <v>0</v>
      </c>
      <c r="Q195">
        <f t="shared" ref="Q195:Q244" si="10">(P195/360)*100</f>
        <v>0</v>
      </c>
      <c r="R195">
        <f t="shared" ref="R195:R243" si="11">Q195*0.1</f>
        <v>0</v>
      </c>
    </row>
    <row r="196" spans="1:18" x14ac:dyDescent="0.25">
      <c r="A196" s="91" t="s">
        <v>202</v>
      </c>
      <c r="B196" s="92">
        <v>10</v>
      </c>
      <c r="C196" s="92">
        <v>27</v>
      </c>
      <c r="D196" s="92">
        <v>25</v>
      </c>
      <c r="E196" s="92">
        <v>23</v>
      </c>
      <c r="F196" s="92">
        <v>22</v>
      </c>
      <c r="G196" s="92">
        <v>24</v>
      </c>
      <c r="H196" s="92">
        <v>22</v>
      </c>
      <c r="I196" s="92">
        <v>22</v>
      </c>
      <c r="J196" s="92">
        <v>26</v>
      </c>
      <c r="K196" s="92">
        <v>17</v>
      </c>
      <c r="L196" s="92">
        <v>27</v>
      </c>
      <c r="M196" s="92">
        <v>30</v>
      </c>
      <c r="N196" s="92" t="s">
        <v>277</v>
      </c>
      <c r="P196">
        <f t="shared" si="9"/>
        <v>275</v>
      </c>
      <c r="Q196">
        <f t="shared" si="10"/>
        <v>76.388888888888886</v>
      </c>
      <c r="R196">
        <f t="shared" si="11"/>
        <v>7.6388888888888893</v>
      </c>
    </row>
    <row r="197" spans="1:18" x14ac:dyDescent="0.25">
      <c r="A197" s="91" t="s">
        <v>203</v>
      </c>
      <c r="B197" s="92">
        <v>8</v>
      </c>
      <c r="C197" s="92">
        <v>26</v>
      </c>
      <c r="D197" s="92">
        <v>22</v>
      </c>
      <c r="E197" s="92">
        <v>20</v>
      </c>
      <c r="F197" s="92">
        <v>22</v>
      </c>
      <c r="G197" s="92">
        <v>19</v>
      </c>
      <c r="H197" s="92">
        <v>25</v>
      </c>
      <c r="I197" s="92">
        <v>18</v>
      </c>
      <c r="J197" s="92">
        <v>22</v>
      </c>
      <c r="K197" s="92">
        <v>19</v>
      </c>
      <c r="L197" s="92">
        <v>28</v>
      </c>
      <c r="M197" s="92">
        <v>28</v>
      </c>
      <c r="N197" s="92" t="s">
        <v>277</v>
      </c>
      <c r="P197">
        <f t="shared" si="9"/>
        <v>257</v>
      </c>
      <c r="Q197">
        <f t="shared" si="10"/>
        <v>71.388888888888886</v>
      </c>
      <c r="R197">
        <f t="shared" si="11"/>
        <v>7.1388888888888893</v>
      </c>
    </row>
    <row r="198" spans="1:18" x14ac:dyDescent="0.25">
      <c r="A198" s="91" t="s">
        <v>204</v>
      </c>
      <c r="B198" s="92">
        <v>25</v>
      </c>
      <c r="C198" s="92">
        <v>25</v>
      </c>
      <c r="D198" s="92">
        <v>28</v>
      </c>
      <c r="E198" s="92">
        <v>20</v>
      </c>
      <c r="F198" s="92">
        <v>19</v>
      </c>
      <c r="G198" s="92">
        <v>23</v>
      </c>
      <c r="H198" s="92">
        <v>24</v>
      </c>
      <c r="I198" s="92">
        <v>18</v>
      </c>
      <c r="J198" s="92">
        <v>21</v>
      </c>
      <c r="K198" s="92">
        <v>16</v>
      </c>
      <c r="L198" s="92">
        <v>22</v>
      </c>
      <c r="M198" s="92">
        <v>26</v>
      </c>
      <c r="N198" s="92" t="s">
        <v>277</v>
      </c>
      <c r="P198">
        <f t="shared" si="9"/>
        <v>267</v>
      </c>
      <c r="Q198">
        <f t="shared" si="10"/>
        <v>74.166666666666671</v>
      </c>
      <c r="R198">
        <f t="shared" si="11"/>
        <v>7.4166666666666679</v>
      </c>
    </row>
    <row r="199" spans="1:18" x14ac:dyDescent="0.25">
      <c r="A199" s="91" t="s">
        <v>205</v>
      </c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 t="s">
        <v>277</v>
      </c>
      <c r="P199">
        <f t="shared" si="9"/>
        <v>0</v>
      </c>
      <c r="Q199">
        <f t="shared" si="10"/>
        <v>0</v>
      </c>
      <c r="R199">
        <f t="shared" si="11"/>
        <v>0</v>
      </c>
    </row>
    <row r="200" spans="1:18" x14ac:dyDescent="0.25">
      <c r="A200" s="91" t="s">
        <v>206</v>
      </c>
      <c r="B200" s="92">
        <v>17</v>
      </c>
      <c r="C200" s="92">
        <v>20</v>
      </c>
      <c r="D200" s="92">
        <v>30</v>
      </c>
      <c r="E200" s="92">
        <v>27</v>
      </c>
      <c r="F200" s="92">
        <v>26</v>
      </c>
      <c r="G200" s="92">
        <v>26</v>
      </c>
      <c r="H200" s="92">
        <v>27</v>
      </c>
      <c r="I200" s="92">
        <v>22</v>
      </c>
      <c r="J200" s="92">
        <v>26</v>
      </c>
      <c r="K200" s="92">
        <v>16</v>
      </c>
      <c r="L200" s="92">
        <v>28</v>
      </c>
      <c r="M200" s="92">
        <v>30</v>
      </c>
      <c r="N200" s="92" t="s">
        <v>277</v>
      </c>
      <c r="P200">
        <f t="shared" si="9"/>
        <v>295</v>
      </c>
      <c r="Q200">
        <f t="shared" si="10"/>
        <v>81.944444444444443</v>
      </c>
      <c r="R200">
        <f t="shared" si="11"/>
        <v>8.1944444444444446</v>
      </c>
    </row>
    <row r="201" spans="1:18" x14ac:dyDescent="0.25">
      <c r="A201" s="91" t="s">
        <v>207</v>
      </c>
      <c r="B201" s="92">
        <v>21</v>
      </c>
      <c r="C201" s="92">
        <v>25</v>
      </c>
      <c r="D201" s="92">
        <v>29</v>
      </c>
      <c r="E201" s="92">
        <v>25</v>
      </c>
      <c r="F201" s="92">
        <v>20</v>
      </c>
      <c r="G201" s="92">
        <v>23</v>
      </c>
      <c r="H201" s="92">
        <v>27</v>
      </c>
      <c r="I201" s="92">
        <v>18</v>
      </c>
      <c r="J201" s="92">
        <v>25</v>
      </c>
      <c r="K201" s="92">
        <v>15</v>
      </c>
      <c r="L201" s="92">
        <v>26</v>
      </c>
      <c r="M201" s="92">
        <v>29</v>
      </c>
      <c r="N201" s="92" t="s">
        <v>277</v>
      </c>
      <c r="P201">
        <f t="shared" si="9"/>
        <v>283</v>
      </c>
      <c r="Q201">
        <f t="shared" si="10"/>
        <v>78.611111111111114</v>
      </c>
      <c r="R201">
        <f t="shared" si="11"/>
        <v>7.8611111111111116</v>
      </c>
    </row>
    <row r="202" spans="1:18" x14ac:dyDescent="0.25">
      <c r="A202" s="91" t="s">
        <v>208</v>
      </c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 t="s">
        <v>277</v>
      </c>
      <c r="P202">
        <f t="shared" si="9"/>
        <v>0</v>
      </c>
      <c r="Q202">
        <f t="shared" si="10"/>
        <v>0</v>
      </c>
      <c r="R202">
        <f t="shared" si="11"/>
        <v>0</v>
      </c>
    </row>
    <row r="203" spans="1:18" x14ac:dyDescent="0.25">
      <c r="A203" s="91" t="s">
        <v>209</v>
      </c>
      <c r="B203" s="92">
        <v>8</v>
      </c>
      <c r="C203" s="92">
        <v>25</v>
      </c>
      <c r="D203" s="92">
        <v>26</v>
      </c>
      <c r="E203" s="92">
        <v>20</v>
      </c>
      <c r="F203" s="92">
        <v>19</v>
      </c>
      <c r="G203" s="92">
        <v>16</v>
      </c>
      <c r="H203" s="92">
        <v>24</v>
      </c>
      <c r="I203" s="92">
        <v>15</v>
      </c>
      <c r="J203" s="92">
        <v>15</v>
      </c>
      <c r="K203" s="92">
        <v>11</v>
      </c>
      <c r="L203" s="92">
        <v>19</v>
      </c>
      <c r="M203" s="92">
        <v>25</v>
      </c>
      <c r="N203" s="92" t="s">
        <v>277</v>
      </c>
      <c r="P203">
        <f t="shared" si="9"/>
        <v>223</v>
      </c>
      <c r="Q203">
        <f t="shared" si="10"/>
        <v>61.944444444444443</v>
      </c>
      <c r="R203">
        <f t="shared" si="11"/>
        <v>6.1944444444444446</v>
      </c>
    </row>
    <row r="204" spans="1:18" x14ac:dyDescent="0.25">
      <c r="A204" s="91" t="s">
        <v>210</v>
      </c>
      <c r="B204" s="92">
        <v>9</v>
      </c>
      <c r="C204" s="92">
        <v>22</v>
      </c>
      <c r="D204" s="92">
        <v>25</v>
      </c>
      <c r="E204" s="92">
        <v>18</v>
      </c>
      <c r="F204" s="92">
        <v>20</v>
      </c>
      <c r="G204" s="92">
        <v>21</v>
      </c>
      <c r="H204" s="92">
        <v>25</v>
      </c>
      <c r="I204" s="92">
        <v>21</v>
      </c>
      <c r="J204" s="92">
        <v>18</v>
      </c>
      <c r="K204" s="92">
        <v>11</v>
      </c>
      <c r="L204" s="92">
        <v>23</v>
      </c>
      <c r="M204" s="92">
        <v>24</v>
      </c>
      <c r="N204" s="92" t="s">
        <v>277</v>
      </c>
      <c r="P204">
        <f t="shared" si="9"/>
        <v>237</v>
      </c>
      <c r="Q204">
        <f t="shared" si="10"/>
        <v>65.833333333333329</v>
      </c>
      <c r="R204">
        <f t="shared" si="11"/>
        <v>6.583333333333333</v>
      </c>
    </row>
    <row r="205" spans="1:18" x14ac:dyDescent="0.25">
      <c r="A205" s="91" t="s">
        <v>211</v>
      </c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 t="s">
        <v>277</v>
      </c>
      <c r="P205">
        <f t="shared" si="9"/>
        <v>0</v>
      </c>
      <c r="Q205">
        <f t="shared" si="10"/>
        <v>0</v>
      </c>
      <c r="R205">
        <f t="shared" si="11"/>
        <v>0</v>
      </c>
    </row>
    <row r="206" spans="1:18" x14ac:dyDescent="0.25">
      <c r="A206" s="91" t="s">
        <v>212</v>
      </c>
      <c r="B206" s="92">
        <v>10</v>
      </c>
      <c r="C206" s="92">
        <v>24</v>
      </c>
      <c r="D206" s="92">
        <v>25</v>
      </c>
      <c r="E206" s="92">
        <v>15</v>
      </c>
      <c r="F206" s="92">
        <v>21</v>
      </c>
      <c r="G206" s="92">
        <v>16</v>
      </c>
      <c r="H206" s="92">
        <v>20</v>
      </c>
      <c r="I206" s="92">
        <v>10</v>
      </c>
      <c r="J206" s="92">
        <v>14</v>
      </c>
      <c r="K206" s="92">
        <v>13</v>
      </c>
      <c r="L206" s="92">
        <v>17</v>
      </c>
      <c r="M206" s="92">
        <v>23</v>
      </c>
      <c r="N206" s="92" t="s">
        <v>277</v>
      </c>
      <c r="P206">
        <f t="shared" si="9"/>
        <v>208</v>
      </c>
      <c r="Q206">
        <f t="shared" si="10"/>
        <v>57.777777777777771</v>
      </c>
      <c r="R206">
        <f t="shared" si="11"/>
        <v>5.7777777777777777</v>
      </c>
    </row>
    <row r="207" spans="1:18" x14ac:dyDescent="0.25">
      <c r="A207" s="91" t="s">
        <v>213</v>
      </c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 t="s">
        <v>277</v>
      </c>
      <c r="P207">
        <f t="shared" si="9"/>
        <v>0</v>
      </c>
      <c r="Q207">
        <f t="shared" si="10"/>
        <v>0</v>
      </c>
      <c r="R207">
        <f t="shared" si="11"/>
        <v>0</v>
      </c>
    </row>
    <row r="208" spans="1:18" x14ac:dyDescent="0.25">
      <c r="A208" s="91" t="s">
        <v>214</v>
      </c>
      <c r="B208" s="92">
        <v>14</v>
      </c>
      <c r="C208" s="92">
        <v>26</v>
      </c>
      <c r="D208" s="92">
        <v>21</v>
      </c>
      <c r="E208" s="92">
        <v>10</v>
      </c>
      <c r="F208" s="92">
        <v>12</v>
      </c>
      <c r="G208" s="92">
        <v>10</v>
      </c>
      <c r="H208" s="92">
        <v>18</v>
      </c>
      <c r="I208" s="92">
        <v>11</v>
      </c>
      <c r="J208" s="92">
        <v>12</v>
      </c>
      <c r="K208" s="92">
        <v>10</v>
      </c>
      <c r="L208" s="92">
        <v>18</v>
      </c>
      <c r="M208" s="92">
        <v>22</v>
      </c>
      <c r="N208" s="92" t="s">
        <v>277</v>
      </c>
      <c r="P208">
        <f t="shared" si="9"/>
        <v>184</v>
      </c>
      <c r="Q208">
        <f t="shared" si="10"/>
        <v>51.111111111111107</v>
      </c>
      <c r="R208">
        <f t="shared" si="11"/>
        <v>5.1111111111111107</v>
      </c>
    </row>
    <row r="209" spans="1:32" x14ac:dyDescent="0.25">
      <c r="A209" s="91" t="s">
        <v>215</v>
      </c>
      <c r="B209" s="92">
        <v>25</v>
      </c>
      <c r="C209" s="92">
        <v>23</v>
      </c>
      <c r="D209" s="92">
        <v>28</v>
      </c>
      <c r="E209" s="92">
        <v>29</v>
      </c>
      <c r="F209" s="92">
        <v>28</v>
      </c>
      <c r="G209" s="92"/>
      <c r="H209" s="92">
        <v>26</v>
      </c>
      <c r="I209" s="92">
        <v>22</v>
      </c>
      <c r="J209" s="92">
        <v>29</v>
      </c>
      <c r="K209" s="92">
        <v>21</v>
      </c>
      <c r="L209" s="92">
        <v>27</v>
      </c>
      <c r="M209" s="92">
        <v>28</v>
      </c>
      <c r="N209" s="92" t="s">
        <v>277</v>
      </c>
      <c r="P209">
        <f t="shared" si="9"/>
        <v>286</v>
      </c>
      <c r="Q209">
        <f t="shared" si="10"/>
        <v>79.444444444444443</v>
      </c>
      <c r="R209">
        <f t="shared" si="11"/>
        <v>7.9444444444444446</v>
      </c>
    </row>
    <row r="210" spans="1:32" x14ac:dyDescent="0.25">
      <c r="A210" s="91" t="s">
        <v>216</v>
      </c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 t="s">
        <v>277</v>
      </c>
      <c r="P210">
        <f t="shared" si="9"/>
        <v>0</v>
      </c>
      <c r="Q210">
        <f t="shared" si="10"/>
        <v>0</v>
      </c>
      <c r="R210">
        <f t="shared" si="11"/>
        <v>0</v>
      </c>
    </row>
    <row r="211" spans="1:32" x14ac:dyDescent="0.25">
      <c r="A211" s="91" t="s">
        <v>217</v>
      </c>
      <c r="B211" s="92">
        <v>8</v>
      </c>
      <c r="C211" s="92">
        <v>15</v>
      </c>
      <c r="D211" s="92">
        <v>23</v>
      </c>
      <c r="E211" s="92">
        <v>4</v>
      </c>
      <c r="F211" s="92">
        <v>6</v>
      </c>
      <c r="G211" s="92">
        <v>14</v>
      </c>
      <c r="H211" s="92">
        <v>17</v>
      </c>
      <c r="I211" s="92">
        <v>11</v>
      </c>
      <c r="J211" s="92">
        <v>14</v>
      </c>
      <c r="K211" s="92">
        <v>12</v>
      </c>
      <c r="L211" s="92">
        <v>17</v>
      </c>
      <c r="M211" s="92">
        <v>19</v>
      </c>
      <c r="N211" s="92" t="s">
        <v>277</v>
      </c>
      <c r="P211">
        <f t="shared" si="9"/>
        <v>160</v>
      </c>
      <c r="Q211">
        <f t="shared" si="10"/>
        <v>44.444444444444443</v>
      </c>
      <c r="R211">
        <f t="shared" si="11"/>
        <v>4.4444444444444446</v>
      </c>
    </row>
    <row r="212" spans="1:32" x14ac:dyDescent="0.25">
      <c r="A212" s="91" t="s">
        <v>218</v>
      </c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 t="s">
        <v>277</v>
      </c>
      <c r="P212">
        <f t="shared" si="9"/>
        <v>0</v>
      </c>
      <c r="Q212">
        <f t="shared" si="10"/>
        <v>0</v>
      </c>
      <c r="R212">
        <f t="shared" si="11"/>
        <v>0</v>
      </c>
    </row>
    <row r="213" spans="1:32" x14ac:dyDescent="0.25">
      <c r="A213" s="91" t="s">
        <v>219</v>
      </c>
      <c r="B213" s="92">
        <v>7</v>
      </c>
      <c r="C213" s="92">
        <v>26</v>
      </c>
      <c r="D213" s="92">
        <v>30</v>
      </c>
      <c r="E213" s="92">
        <v>26</v>
      </c>
      <c r="F213" s="92">
        <v>16</v>
      </c>
      <c r="G213" s="92">
        <v>25</v>
      </c>
      <c r="H213" s="92">
        <v>25</v>
      </c>
      <c r="I213" s="92">
        <v>21</v>
      </c>
      <c r="J213" s="92">
        <v>23</v>
      </c>
      <c r="K213" s="92">
        <v>15</v>
      </c>
      <c r="L213" s="92">
        <v>23</v>
      </c>
      <c r="M213" s="92">
        <v>26</v>
      </c>
      <c r="N213" s="92" t="s">
        <v>277</v>
      </c>
      <c r="P213">
        <f t="shared" si="9"/>
        <v>263</v>
      </c>
      <c r="Q213">
        <f t="shared" si="10"/>
        <v>73.055555555555557</v>
      </c>
      <c r="R213">
        <f t="shared" si="11"/>
        <v>7.3055555555555562</v>
      </c>
    </row>
    <row r="214" spans="1:32" x14ac:dyDescent="0.25">
      <c r="A214" s="91" t="s">
        <v>220</v>
      </c>
      <c r="B214" s="92">
        <v>23</v>
      </c>
      <c r="C214" s="92">
        <v>23</v>
      </c>
      <c r="D214" s="92">
        <v>28</v>
      </c>
      <c r="E214" s="92">
        <v>29</v>
      </c>
      <c r="F214" s="92">
        <v>26</v>
      </c>
      <c r="G214" s="92">
        <v>26</v>
      </c>
      <c r="H214" s="92">
        <v>27</v>
      </c>
      <c r="I214" s="92">
        <v>20</v>
      </c>
      <c r="J214" s="92">
        <v>20</v>
      </c>
      <c r="K214" s="92">
        <v>16</v>
      </c>
      <c r="L214" s="92">
        <v>22</v>
      </c>
      <c r="M214" s="92">
        <v>26</v>
      </c>
      <c r="N214" s="92" t="s">
        <v>277</v>
      </c>
      <c r="P214">
        <f t="shared" si="9"/>
        <v>286</v>
      </c>
      <c r="Q214">
        <f t="shared" si="10"/>
        <v>79.444444444444443</v>
      </c>
      <c r="R214">
        <f t="shared" si="11"/>
        <v>7.9444444444444446</v>
      </c>
    </row>
    <row r="215" spans="1:32" x14ac:dyDescent="0.25">
      <c r="A215" s="91" t="s">
        <v>221</v>
      </c>
      <c r="B215" s="92">
        <v>17</v>
      </c>
      <c r="C215" s="92">
        <v>10</v>
      </c>
      <c r="D215" s="92">
        <v>24</v>
      </c>
      <c r="E215" s="92">
        <v>19</v>
      </c>
      <c r="F215" s="92">
        <v>21</v>
      </c>
      <c r="G215" s="92">
        <v>17</v>
      </c>
      <c r="H215" s="92">
        <v>30</v>
      </c>
      <c r="I215" s="92">
        <v>26</v>
      </c>
      <c r="J215" s="92">
        <v>19</v>
      </c>
      <c r="K215" s="92">
        <v>18</v>
      </c>
      <c r="L215" s="92">
        <v>28</v>
      </c>
      <c r="M215" s="92">
        <v>25</v>
      </c>
      <c r="N215" s="92" t="s">
        <v>277</v>
      </c>
      <c r="P215">
        <f t="shared" si="9"/>
        <v>254</v>
      </c>
      <c r="Q215">
        <f t="shared" si="10"/>
        <v>70.555555555555557</v>
      </c>
      <c r="R215">
        <f t="shared" si="11"/>
        <v>7.0555555555555562</v>
      </c>
    </row>
    <row r="216" spans="1:32" x14ac:dyDescent="0.25">
      <c r="A216" s="91" t="s">
        <v>222</v>
      </c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 t="s">
        <v>277</v>
      </c>
      <c r="P216">
        <f t="shared" si="9"/>
        <v>0</v>
      </c>
      <c r="Q216">
        <f t="shared" si="10"/>
        <v>0</v>
      </c>
      <c r="R216">
        <f t="shared" si="11"/>
        <v>0</v>
      </c>
    </row>
    <row r="217" spans="1:32" x14ac:dyDescent="0.25">
      <c r="A217" s="91" t="s">
        <v>223</v>
      </c>
      <c r="B217" s="92">
        <v>12</v>
      </c>
      <c r="C217" s="92">
        <v>21</v>
      </c>
      <c r="D217" s="92">
        <v>22</v>
      </c>
      <c r="E217" s="92">
        <v>16</v>
      </c>
      <c r="F217" s="92">
        <v>14</v>
      </c>
      <c r="G217" s="92">
        <v>17</v>
      </c>
      <c r="H217" s="92">
        <v>17</v>
      </c>
      <c r="I217" s="92">
        <v>13</v>
      </c>
      <c r="J217" s="92">
        <v>15</v>
      </c>
      <c r="K217" s="92">
        <v>12</v>
      </c>
      <c r="L217" s="92">
        <v>18</v>
      </c>
      <c r="M217" s="92">
        <v>26</v>
      </c>
      <c r="N217" s="92" t="s">
        <v>277</v>
      </c>
      <c r="P217">
        <f t="shared" si="9"/>
        <v>203</v>
      </c>
      <c r="Q217">
        <f t="shared" si="10"/>
        <v>56.388888888888886</v>
      </c>
      <c r="R217">
        <f t="shared" si="11"/>
        <v>5.6388888888888893</v>
      </c>
    </row>
    <row r="218" spans="1:32" x14ac:dyDescent="0.25">
      <c r="A218" s="91" t="s">
        <v>224</v>
      </c>
      <c r="B218" s="92">
        <v>6</v>
      </c>
      <c r="C218" s="92">
        <v>13</v>
      </c>
      <c r="D218" s="92">
        <v>22</v>
      </c>
      <c r="E218" s="92">
        <v>12</v>
      </c>
      <c r="F218" s="92">
        <v>20</v>
      </c>
      <c r="G218" s="92">
        <v>14</v>
      </c>
      <c r="H218" s="92">
        <v>18</v>
      </c>
      <c r="I218" s="92">
        <v>14</v>
      </c>
      <c r="J218" s="92">
        <v>11</v>
      </c>
      <c r="K218" s="92">
        <v>7</v>
      </c>
      <c r="L218" s="92">
        <v>20</v>
      </c>
      <c r="M218" s="92">
        <v>24</v>
      </c>
      <c r="N218" s="92" t="s">
        <v>277</v>
      </c>
      <c r="P218">
        <f t="shared" si="9"/>
        <v>181</v>
      </c>
      <c r="Q218">
        <f t="shared" si="10"/>
        <v>50.277777777777779</v>
      </c>
      <c r="R218">
        <f t="shared" si="11"/>
        <v>5.0277777777777786</v>
      </c>
    </row>
    <row r="219" spans="1:32" x14ac:dyDescent="0.25">
      <c r="A219" s="91" t="s">
        <v>225</v>
      </c>
      <c r="B219" s="92">
        <v>23</v>
      </c>
      <c r="C219" s="92">
        <v>26</v>
      </c>
      <c r="D219" s="92">
        <v>28</v>
      </c>
      <c r="E219" s="92">
        <v>29</v>
      </c>
      <c r="F219" s="92">
        <v>29</v>
      </c>
      <c r="G219" s="92">
        <v>30</v>
      </c>
      <c r="H219" s="92">
        <v>28</v>
      </c>
      <c r="I219" s="92">
        <v>27</v>
      </c>
      <c r="J219" s="92">
        <v>25</v>
      </c>
      <c r="K219" s="92">
        <v>19</v>
      </c>
      <c r="L219" s="92">
        <v>29</v>
      </c>
      <c r="M219" s="92">
        <v>28</v>
      </c>
      <c r="N219" s="92" t="s">
        <v>277</v>
      </c>
      <c r="P219">
        <f t="shared" si="9"/>
        <v>321</v>
      </c>
      <c r="Q219">
        <f t="shared" si="10"/>
        <v>89.166666666666671</v>
      </c>
      <c r="R219">
        <f t="shared" si="11"/>
        <v>8.9166666666666679</v>
      </c>
    </row>
    <row r="220" spans="1:32" x14ac:dyDescent="0.25">
      <c r="A220" s="91" t="s">
        <v>226</v>
      </c>
      <c r="B220" s="92">
        <v>11</v>
      </c>
      <c r="C220" s="92">
        <v>24</v>
      </c>
      <c r="D220" s="92">
        <v>20</v>
      </c>
      <c r="E220" s="92">
        <v>18</v>
      </c>
      <c r="F220" s="92">
        <v>23</v>
      </c>
      <c r="G220" s="92">
        <v>28</v>
      </c>
      <c r="H220" s="92">
        <v>24</v>
      </c>
      <c r="I220" s="92">
        <v>13</v>
      </c>
      <c r="J220" s="92">
        <v>23</v>
      </c>
      <c r="K220" s="92">
        <v>7</v>
      </c>
      <c r="L220" s="92">
        <v>27</v>
      </c>
      <c r="M220" s="92">
        <v>29</v>
      </c>
      <c r="N220" s="92" t="s">
        <v>277</v>
      </c>
      <c r="P220">
        <f t="shared" si="9"/>
        <v>247</v>
      </c>
      <c r="Q220">
        <f t="shared" si="10"/>
        <v>68.611111111111114</v>
      </c>
      <c r="R220">
        <f t="shared" si="11"/>
        <v>6.8611111111111116</v>
      </c>
    </row>
    <row r="221" spans="1:32" x14ac:dyDescent="0.25">
      <c r="A221" s="91" t="s">
        <v>227</v>
      </c>
      <c r="B221" s="92">
        <v>11</v>
      </c>
      <c r="C221" s="92">
        <v>19</v>
      </c>
      <c r="D221" s="92">
        <v>27</v>
      </c>
      <c r="E221" s="92">
        <v>15</v>
      </c>
      <c r="F221" s="92">
        <v>16</v>
      </c>
      <c r="G221" s="92">
        <v>14</v>
      </c>
      <c r="H221" s="92">
        <v>20</v>
      </c>
      <c r="I221" s="92">
        <v>13</v>
      </c>
      <c r="J221" s="92">
        <v>19</v>
      </c>
      <c r="K221" s="92">
        <v>13</v>
      </c>
      <c r="L221" s="92">
        <v>23</v>
      </c>
      <c r="M221" s="92">
        <v>23</v>
      </c>
      <c r="N221" s="92" t="s">
        <v>277</v>
      </c>
      <c r="P221">
        <f t="shared" si="9"/>
        <v>213</v>
      </c>
      <c r="Q221">
        <f t="shared" si="10"/>
        <v>59.166666666666664</v>
      </c>
      <c r="R221">
        <f t="shared" si="11"/>
        <v>5.916666666666667</v>
      </c>
    </row>
    <row r="222" spans="1:32" x14ac:dyDescent="0.25">
      <c r="A222" s="91" t="s">
        <v>228</v>
      </c>
      <c r="B222" s="92">
        <v>12</v>
      </c>
      <c r="C222" s="92">
        <v>26</v>
      </c>
      <c r="D222" s="92">
        <v>24</v>
      </c>
      <c r="E222" s="92">
        <v>16</v>
      </c>
      <c r="F222" s="92">
        <v>19</v>
      </c>
      <c r="G222" s="92">
        <v>13</v>
      </c>
      <c r="H222" s="92">
        <v>25</v>
      </c>
      <c r="I222" s="92">
        <v>14</v>
      </c>
      <c r="J222" s="92">
        <v>20</v>
      </c>
      <c r="K222" s="92">
        <v>16</v>
      </c>
      <c r="L222" s="92">
        <v>22</v>
      </c>
      <c r="M222" s="92">
        <v>23</v>
      </c>
      <c r="N222" s="92" t="s">
        <v>277</v>
      </c>
      <c r="P222">
        <f t="shared" si="9"/>
        <v>230</v>
      </c>
      <c r="Q222">
        <f t="shared" si="10"/>
        <v>63.888888888888886</v>
      </c>
      <c r="R222">
        <f t="shared" si="11"/>
        <v>6.3888888888888893</v>
      </c>
    </row>
    <row r="223" spans="1:32" x14ac:dyDescent="0.25">
      <c r="A223" s="91" t="s">
        <v>229</v>
      </c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 t="s">
        <v>277</v>
      </c>
      <c r="P223">
        <f t="shared" si="9"/>
        <v>0</v>
      </c>
      <c r="Q223">
        <f t="shared" si="10"/>
        <v>0</v>
      </c>
      <c r="R223">
        <f t="shared" si="11"/>
        <v>0</v>
      </c>
    </row>
    <row r="224" spans="1:32" x14ac:dyDescent="0.25">
      <c r="A224" s="95" t="s">
        <v>318</v>
      </c>
      <c r="B224" s="96">
        <v>29</v>
      </c>
      <c r="C224" s="96">
        <v>27</v>
      </c>
      <c r="D224" s="96">
        <v>27</v>
      </c>
      <c r="E224" s="96">
        <v>30</v>
      </c>
      <c r="F224" s="96">
        <v>29</v>
      </c>
      <c r="G224" s="96">
        <v>29</v>
      </c>
      <c r="H224" s="96">
        <v>30</v>
      </c>
      <c r="I224" s="96">
        <v>25</v>
      </c>
      <c r="J224" s="96"/>
      <c r="K224" s="96"/>
      <c r="L224" s="96">
        <v>27</v>
      </c>
      <c r="M224" s="96">
        <v>29</v>
      </c>
      <c r="N224" s="96" t="s">
        <v>278</v>
      </c>
      <c r="O224" s="95"/>
      <c r="P224">
        <f t="shared" si="9"/>
        <v>282</v>
      </c>
      <c r="Q224">
        <f t="shared" si="10"/>
        <v>78.333333333333329</v>
      </c>
      <c r="R224">
        <f t="shared" si="11"/>
        <v>7.833333333333333</v>
      </c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:18" x14ac:dyDescent="0.25">
      <c r="A225" s="91" t="s">
        <v>319</v>
      </c>
      <c r="B225" s="92">
        <v>19</v>
      </c>
      <c r="C225" s="92">
        <v>15</v>
      </c>
      <c r="D225" s="92">
        <v>22</v>
      </c>
      <c r="E225" s="92">
        <v>25</v>
      </c>
      <c r="F225" s="92"/>
      <c r="G225" s="92"/>
      <c r="H225" s="92"/>
      <c r="I225" s="92">
        <v>27</v>
      </c>
      <c r="J225" s="92"/>
      <c r="K225" s="92"/>
      <c r="L225" s="92">
        <v>29</v>
      </c>
      <c r="M225" s="92">
        <v>30</v>
      </c>
      <c r="N225" s="92" t="s">
        <v>278</v>
      </c>
      <c r="P225">
        <f t="shared" si="9"/>
        <v>167</v>
      </c>
      <c r="Q225">
        <f t="shared" si="10"/>
        <v>46.388888888888893</v>
      </c>
      <c r="R225">
        <f t="shared" si="11"/>
        <v>4.6388888888888893</v>
      </c>
    </row>
    <row r="226" spans="1:18" x14ac:dyDescent="0.25">
      <c r="A226" s="91" t="s">
        <v>320</v>
      </c>
      <c r="B226" s="92"/>
      <c r="C226" s="92"/>
      <c r="D226" s="92"/>
      <c r="E226" s="92"/>
      <c r="F226" s="92"/>
      <c r="G226" s="92"/>
      <c r="H226" s="92">
        <v>18</v>
      </c>
      <c r="I226" s="92"/>
      <c r="J226" s="92"/>
      <c r="K226" s="92"/>
      <c r="L226" s="92"/>
      <c r="M226" s="92"/>
      <c r="N226" s="92" t="s">
        <v>278</v>
      </c>
      <c r="P226">
        <f t="shared" si="9"/>
        <v>18</v>
      </c>
      <c r="Q226">
        <f t="shared" si="10"/>
        <v>5</v>
      </c>
      <c r="R226">
        <f t="shared" si="11"/>
        <v>0.5</v>
      </c>
    </row>
    <row r="227" spans="1:18" x14ac:dyDescent="0.25">
      <c r="A227" s="91" t="s">
        <v>321</v>
      </c>
      <c r="B227" s="92"/>
      <c r="C227" s="92"/>
      <c r="D227" s="92">
        <v>29</v>
      </c>
      <c r="E227" s="92"/>
      <c r="F227" s="92"/>
      <c r="G227" s="92"/>
      <c r="H227" s="92"/>
      <c r="I227" s="92"/>
      <c r="J227" s="92"/>
      <c r="K227" s="92"/>
      <c r="L227" s="92"/>
      <c r="M227" s="92"/>
      <c r="N227" s="92" t="s">
        <v>278</v>
      </c>
      <c r="P227">
        <f t="shared" si="9"/>
        <v>29</v>
      </c>
      <c r="Q227">
        <f t="shared" si="10"/>
        <v>8.0555555555555554</v>
      </c>
      <c r="R227">
        <f t="shared" si="11"/>
        <v>0.80555555555555558</v>
      </c>
    </row>
    <row r="228" spans="1:18" x14ac:dyDescent="0.25">
      <c r="A228" s="91" t="s">
        <v>322</v>
      </c>
      <c r="B228" s="92"/>
      <c r="C228" s="92">
        <v>23</v>
      </c>
      <c r="D228" s="92">
        <v>30</v>
      </c>
      <c r="E228" s="92"/>
      <c r="F228" s="92"/>
      <c r="G228" s="92"/>
      <c r="H228" s="92">
        <v>28</v>
      </c>
      <c r="I228" s="92"/>
      <c r="J228" s="92"/>
      <c r="K228" s="92"/>
      <c r="L228" s="92"/>
      <c r="M228" s="92"/>
      <c r="N228" s="92" t="s">
        <v>278</v>
      </c>
      <c r="P228">
        <f t="shared" si="9"/>
        <v>81</v>
      </c>
      <c r="Q228">
        <f t="shared" si="10"/>
        <v>22.5</v>
      </c>
      <c r="R228">
        <f t="shared" si="11"/>
        <v>2.25</v>
      </c>
    </row>
    <row r="229" spans="1:18" x14ac:dyDescent="0.25">
      <c r="A229" s="91" t="s">
        <v>323</v>
      </c>
      <c r="B229" s="92"/>
      <c r="C229" s="92"/>
      <c r="D229" s="92">
        <v>19</v>
      </c>
      <c r="E229" s="92"/>
      <c r="F229" s="92"/>
      <c r="G229" s="92"/>
      <c r="H229" s="92">
        <v>14</v>
      </c>
      <c r="I229" s="92"/>
      <c r="J229" s="92"/>
      <c r="K229" s="92"/>
      <c r="L229" s="92"/>
      <c r="M229" s="92">
        <v>23</v>
      </c>
      <c r="N229" s="92" t="s">
        <v>278</v>
      </c>
      <c r="P229">
        <f t="shared" si="9"/>
        <v>56</v>
      </c>
      <c r="Q229">
        <f t="shared" si="10"/>
        <v>15.555555555555555</v>
      </c>
      <c r="R229">
        <f t="shared" si="11"/>
        <v>1.5555555555555556</v>
      </c>
    </row>
    <row r="230" spans="1:18" x14ac:dyDescent="0.25">
      <c r="A230" s="91" t="s">
        <v>324</v>
      </c>
      <c r="B230" s="92"/>
      <c r="C230" s="92"/>
      <c r="D230" s="92">
        <v>20</v>
      </c>
      <c r="E230" s="92"/>
      <c r="F230" s="92"/>
      <c r="G230" s="92"/>
      <c r="H230" s="92"/>
      <c r="I230" s="92"/>
      <c r="J230" s="92"/>
      <c r="K230" s="92"/>
      <c r="L230" s="92"/>
      <c r="M230" s="92"/>
      <c r="N230" s="92" t="s">
        <v>278</v>
      </c>
      <c r="P230">
        <f t="shared" si="9"/>
        <v>20</v>
      </c>
      <c r="Q230">
        <f t="shared" si="10"/>
        <v>5.5555555555555554</v>
      </c>
      <c r="R230">
        <f t="shared" si="11"/>
        <v>0.55555555555555558</v>
      </c>
    </row>
    <row r="231" spans="1:18" x14ac:dyDescent="0.25">
      <c r="A231" s="91" t="s">
        <v>325</v>
      </c>
      <c r="B231" s="92"/>
      <c r="C231" s="92">
        <v>26</v>
      </c>
      <c r="D231" s="92">
        <v>30</v>
      </c>
      <c r="E231" s="92"/>
      <c r="F231" s="92"/>
      <c r="G231" s="92"/>
      <c r="H231" s="92">
        <v>30</v>
      </c>
      <c r="I231" s="92">
        <v>28</v>
      </c>
      <c r="J231" s="92"/>
      <c r="K231" s="92"/>
      <c r="L231" s="92"/>
      <c r="M231" s="92"/>
      <c r="N231" s="92" t="s">
        <v>278</v>
      </c>
      <c r="P231">
        <f t="shared" si="9"/>
        <v>114</v>
      </c>
      <c r="Q231">
        <f t="shared" si="10"/>
        <v>31.666666666666664</v>
      </c>
      <c r="R231">
        <f t="shared" si="11"/>
        <v>3.1666666666666665</v>
      </c>
    </row>
    <row r="232" spans="1:18" x14ac:dyDescent="0.25">
      <c r="A232" s="91" t="s">
        <v>326</v>
      </c>
      <c r="B232" s="92"/>
      <c r="C232" s="92">
        <v>27</v>
      </c>
      <c r="D232" s="92">
        <v>30</v>
      </c>
      <c r="E232" s="92"/>
      <c r="F232" s="92"/>
      <c r="G232" s="92"/>
      <c r="H232" s="92"/>
      <c r="I232" s="92"/>
      <c r="J232" s="92"/>
      <c r="K232" s="92"/>
      <c r="L232" s="92"/>
      <c r="M232" s="92"/>
      <c r="N232" s="92" t="s">
        <v>278</v>
      </c>
      <c r="P232">
        <f t="shared" si="9"/>
        <v>57</v>
      </c>
      <c r="Q232">
        <f t="shared" si="10"/>
        <v>15.833333333333332</v>
      </c>
      <c r="R232">
        <f t="shared" si="11"/>
        <v>1.5833333333333333</v>
      </c>
    </row>
    <row r="233" spans="1:18" x14ac:dyDescent="0.25">
      <c r="A233" s="91" t="s">
        <v>327</v>
      </c>
      <c r="B233" s="92">
        <v>19</v>
      </c>
      <c r="C233" s="92">
        <v>19</v>
      </c>
      <c r="D233" s="92">
        <v>19</v>
      </c>
      <c r="E233" s="92">
        <v>23</v>
      </c>
      <c r="F233" s="92">
        <v>26</v>
      </c>
      <c r="G233" s="92">
        <v>25</v>
      </c>
      <c r="H233" s="92">
        <v>25</v>
      </c>
      <c r="I233" s="92">
        <v>15</v>
      </c>
      <c r="J233" s="92"/>
      <c r="K233" s="92"/>
      <c r="L233" s="92">
        <v>22</v>
      </c>
      <c r="M233" s="92">
        <v>22</v>
      </c>
      <c r="N233" s="92" t="s">
        <v>278</v>
      </c>
      <c r="P233">
        <f t="shared" si="9"/>
        <v>215</v>
      </c>
      <c r="Q233">
        <f t="shared" si="10"/>
        <v>59.722222222222221</v>
      </c>
      <c r="R233">
        <f t="shared" si="11"/>
        <v>5.9722222222222223</v>
      </c>
    </row>
    <row r="234" spans="1:18" x14ac:dyDescent="0.25">
      <c r="A234" s="91" t="s">
        <v>328</v>
      </c>
      <c r="B234" s="92">
        <v>24</v>
      </c>
      <c r="C234" s="92">
        <v>22</v>
      </c>
      <c r="D234" s="92">
        <v>27</v>
      </c>
      <c r="E234" s="92">
        <v>21</v>
      </c>
      <c r="F234" s="92">
        <v>22</v>
      </c>
      <c r="G234" s="92">
        <v>26</v>
      </c>
      <c r="H234" s="92">
        <v>13</v>
      </c>
      <c r="I234" s="92">
        <v>8</v>
      </c>
      <c r="J234" s="92"/>
      <c r="K234" s="92"/>
      <c r="L234" s="92"/>
      <c r="M234" s="92"/>
      <c r="N234" s="92" t="s">
        <v>278</v>
      </c>
      <c r="P234">
        <f t="shared" si="9"/>
        <v>163</v>
      </c>
      <c r="Q234">
        <f t="shared" si="10"/>
        <v>45.277777777777779</v>
      </c>
      <c r="R234">
        <f t="shared" si="11"/>
        <v>4.5277777777777777</v>
      </c>
    </row>
    <row r="235" spans="1:18" x14ac:dyDescent="0.25">
      <c r="A235" s="91" t="s">
        <v>329</v>
      </c>
      <c r="B235" s="92"/>
      <c r="C235" s="92"/>
      <c r="D235" s="92">
        <v>12</v>
      </c>
      <c r="E235" s="92"/>
      <c r="F235" s="92"/>
      <c r="G235" s="92"/>
      <c r="H235" s="92"/>
      <c r="I235" s="92">
        <v>13</v>
      </c>
      <c r="J235" s="92"/>
      <c r="K235" s="92"/>
      <c r="L235" s="92">
        <v>23</v>
      </c>
      <c r="M235" s="92">
        <v>28</v>
      </c>
      <c r="N235" s="92" t="s">
        <v>278</v>
      </c>
      <c r="P235">
        <f t="shared" si="9"/>
        <v>76</v>
      </c>
      <c r="Q235">
        <f t="shared" si="10"/>
        <v>21.111111111111111</v>
      </c>
      <c r="R235">
        <f t="shared" si="11"/>
        <v>2.1111111111111112</v>
      </c>
    </row>
    <row r="236" spans="1:18" x14ac:dyDescent="0.25">
      <c r="A236" s="91" t="s">
        <v>330</v>
      </c>
      <c r="B236" s="92"/>
      <c r="C236" s="92"/>
      <c r="D236" s="92">
        <v>26</v>
      </c>
      <c r="E236" s="92"/>
      <c r="F236" s="92"/>
      <c r="G236" s="92"/>
      <c r="H236" s="92">
        <v>21</v>
      </c>
      <c r="I236" s="92"/>
      <c r="J236" s="92"/>
      <c r="K236" s="92"/>
      <c r="L236" s="92"/>
      <c r="M236" s="92"/>
      <c r="N236" s="92" t="s">
        <v>278</v>
      </c>
      <c r="P236">
        <f t="shared" si="9"/>
        <v>47</v>
      </c>
      <c r="Q236">
        <f t="shared" si="10"/>
        <v>13.055555555555557</v>
      </c>
      <c r="R236">
        <f t="shared" si="11"/>
        <v>1.3055555555555558</v>
      </c>
    </row>
    <row r="237" spans="1:18" x14ac:dyDescent="0.25">
      <c r="A237" s="91" t="s">
        <v>331</v>
      </c>
      <c r="B237" s="92"/>
      <c r="C237" s="92"/>
      <c r="D237" s="92"/>
      <c r="E237" s="92"/>
      <c r="F237" s="92"/>
      <c r="G237" s="92"/>
      <c r="H237" s="92">
        <v>19</v>
      </c>
      <c r="I237" s="92"/>
      <c r="J237" s="92"/>
      <c r="K237" s="92"/>
      <c r="L237" s="92"/>
      <c r="M237" s="92"/>
      <c r="N237" s="92" t="s">
        <v>278</v>
      </c>
      <c r="P237">
        <f t="shared" si="9"/>
        <v>19</v>
      </c>
      <c r="Q237">
        <f t="shared" si="10"/>
        <v>5.2777777777777777</v>
      </c>
      <c r="R237">
        <f t="shared" si="11"/>
        <v>0.52777777777777779</v>
      </c>
    </row>
    <row r="238" spans="1:18" x14ac:dyDescent="0.25">
      <c r="A238" s="91" t="s">
        <v>332</v>
      </c>
      <c r="B238" s="92"/>
      <c r="C238" s="92">
        <v>16</v>
      </c>
      <c r="D238" s="92">
        <v>16</v>
      </c>
      <c r="E238" s="92"/>
      <c r="F238" s="92"/>
      <c r="G238" s="92"/>
      <c r="H238" s="92">
        <v>18</v>
      </c>
      <c r="I238" s="92"/>
      <c r="J238" s="92"/>
      <c r="K238" s="92"/>
      <c r="L238" s="92"/>
      <c r="M238" s="92"/>
      <c r="N238" s="92" t="s">
        <v>278</v>
      </c>
      <c r="P238">
        <f t="shared" si="9"/>
        <v>50</v>
      </c>
      <c r="Q238">
        <f t="shared" si="10"/>
        <v>13.888888888888889</v>
      </c>
      <c r="R238">
        <f t="shared" si="11"/>
        <v>1.3888888888888891</v>
      </c>
    </row>
    <row r="239" spans="1:18" x14ac:dyDescent="0.25">
      <c r="A239" s="91" t="s">
        <v>333</v>
      </c>
      <c r="B239" s="92"/>
      <c r="C239" s="92">
        <v>17</v>
      </c>
      <c r="D239" s="92">
        <v>19</v>
      </c>
      <c r="E239" s="92"/>
      <c r="F239" s="92"/>
      <c r="G239" s="92"/>
      <c r="H239" s="92"/>
      <c r="I239" s="92"/>
      <c r="J239" s="92"/>
      <c r="K239" s="92"/>
      <c r="L239" s="92"/>
      <c r="M239" s="92"/>
      <c r="N239" s="92" t="s">
        <v>278</v>
      </c>
      <c r="P239">
        <f t="shared" si="9"/>
        <v>36</v>
      </c>
      <c r="Q239">
        <f t="shared" si="10"/>
        <v>10</v>
      </c>
      <c r="R239">
        <f t="shared" si="11"/>
        <v>1</v>
      </c>
    </row>
    <row r="240" spans="1:18" x14ac:dyDescent="0.25">
      <c r="A240" s="91" t="s">
        <v>334</v>
      </c>
      <c r="B240" s="92"/>
      <c r="C240" s="92"/>
      <c r="D240" s="92">
        <v>20</v>
      </c>
      <c r="E240" s="92"/>
      <c r="F240" s="92"/>
      <c r="G240" s="92"/>
      <c r="H240" s="92"/>
      <c r="I240" s="92"/>
      <c r="J240" s="92"/>
      <c r="K240" s="92"/>
      <c r="L240" s="92"/>
      <c r="M240" s="92"/>
      <c r="N240" s="92" t="s">
        <v>278</v>
      </c>
      <c r="P240">
        <f t="shared" si="9"/>
        <v>20</v>
      </c>
      <c r="Q240">
        <f t="shared" si="10"/>
        <v>5.5555555555555554</v>
      </c>
      <c r="R240">
        <f t="shared" si="11"/>
        <v>0.55555555555555558</v>
      </c>
    </row>
    <row r="241" spans="1:18" x14ac:dyDescent="0.25">
      <c r="A241" s="91" t="s">
        <v>335</v>
      </c>
      <c r="B241" s="92">
        <v>9</v>
      </c>
      <c r="C241" s="92"/>
      <c r="D241" s="92"/>
      <c r="E241" s="92"/>
      <c r="F241" s="92"/>
      <c r="G241" s="92"/>
      <c r="H241" s="92">
        <v>28</v>
      </c>
      <c r="I241" s="92"/>
      <c r="J241" s="92"/>
      <c r="K241" s="92"/>
      <c r="L241" s="92"/>
      <c r="M241" s="92"/>
      <c r="N241" s="92" t="s">
        <v>278</v>
      </c>
      <c r="P241">
        <f t="shared" si="9"/>
        <v>37</v>
      </c>
      <c r="Q241">
        <f t="shared" si="10"/>
        <v>10.277777777777777</v>
      </c>
      <c r="R241">
        <f t="shared" si="11"/>
        <v>1.0277777777777777</v>
      </c>
    </row>
    <row r="242" spans="1:18" x14ac:dyDescent="0.25">
      <c r="A242" s="91" t="s">
        <v>336</v>
      </c>
      <c r="B242" s="92"/>
      <c r="C242" s="92">
        <v>27</v>
      </c>
      <c r="D242" s="92">
        <v>29</v>
      </c>
      <c r="E242" s="92"/>
      <c r="F242" s="92">
        <v>27</v>
      </c>
      <c r="G242" s="92">
        <v>30</v>
      </c>
      <c r="H242" s="92">
        <v>30</v>
      </c>
      <c r="I242" s="92"/>
      <c r="J242" s="92"/>
      <c r="K242" s="92"/>
      <c r="L242" s="92">
        <v>30</v>
      </c>
      <c r="M242" s="92">
        <v>30</v>
      </c>
      <c r="N242" s="92" t="s">
        <v>278</v>
      </c>
      <c r="P242">
        <f t="shared" si="9"/>
        <v>203</v>
      </c>
      <c r="Q242">
        <f t="shared" si="10"/>
        <v>56.388888888888886</v>
      </c>
      <c r="R242">
        <f t="shared" si="11"/>
        <v>5.6388888888888893</v>
      </c>
    </row>
    <row r="243" spans="1:18" x14ac:dyDescent="0.25">
      <c r="A243" s="91" t="s">
        <v>337</v>
      </c>
      <c r="B243" s="92"/>
      <c r="C243" s="92"/>
      <c r="D243" s="92">
        <v>17</v>
      </c>
      <c r="E243" s="92"/>
      <c r="F243" s="92"/>
      <c r="G243" s="92"/>
      <c r="H243" s="92"/>
      <c r="I243" s="92"/>
      <c r="J243" s="92"/>
      <c r="K243" s="92"/>
      <c r="L243" s="92"/>
      <c r="M243" s="92"/>
      <c r="N243" s="92" t="s">
        <v>278</v>
      </c>
      <c r="P243">
        <f t="shared" si="9"/>
        <v>17</v>
      </c>
      <c r="Q243">
        <f t="shared" si="10"/>
        <v>4.7222222222222223</v>
      </c>
      <c r="R243">
        <f t="shared" si="11"/>
        <v>0.47222222222222227</v>
      </c>
    </row>
    <row r="244" spans="1:18" x14ac:dyDescent="0.25">
      <c r="A244" s="91" t="s">
        <v>338</v>
      </c>
      <c r="B244" s="92"/>
      <c r="C244" s="92"/>
      <c r="D244" s="92"/>
      <c r="E244" s="92"/>
      <c r="F244" s="92"/>
      <c r="G244" s="92"/>
      <c r="H244" s="92">
        <v>23</v>
      </c>
      <c r="I244" s="92"/>
      <c r="J244" s="92"/>
      <c r="K244" s="92"/>
      <c r="L244" s="92"/>
      <c r="M244" s="92"/>
      <c r="N244" s="92" t="s">
        <v>278</v>
      </c>
      <c r="P244">
        <f t="shared" si="9"/>
        <v>23</v>
      </c>
      <c r="Q244">
        <f t="shared" si="10"/>
        <v>6.3888888888888884</v>
      </c>
      <c r="R244">
        <f>Q244*0.1</f>
        <v>0.63888888888888884</v>
      </c>
    </row>
    <row r="245" spans="1:18" x14ac:dyDescent="0.25"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</row>
    <row r="246" spans="1:18" x14ac:dyDescent="0.25"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</row>
    <row r="247" spans="1:18" x14ac:dyDescent="0.25"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</row>
    <row r="248" spans="1:18" x14ac:dyDescent="0.25">
      <c r="B248" s="92">
        <f t="shared" ref="B248:M248" si="12">COUNT(B131:B179)</f>
        <v>38</v>
      </c>
      <c r="C248" s="92">
        <f t="shared" si="12"/>
        <v>39</v>
      </c>
      <c r="D248" s="92">
        <f t="shared" si="12"/>
        <v>38</v>
      </c>
      <c r="E248" s="92">
        <f t="shared" si="12"/>
        <v>36</v>
      </c>
      <c r="F248" s="92">
        <f t="shared" si="12"/>
        <v>35</v>
      </c>
      <c r="G248" s="92">
        <f t="shared" si="12"/>
        <v>36</v>
      </c>
      <c r="H248" s="92">
        <f t="shared" si="12"/>
        <v>39</v>
      </c>
      <c r="I248" s="92">
        <f t="shared" si="12"/>
        <v>39</v>
      </c>
      <c r="J248" s="92">
        <f t="shared" si="12"/>
        <v>31</v>
      </c>
      <c r="K248" s="92">
        <f t="shared" si="12"/>
        <v>31</v>
      </c>
      <c r="L248" s="92">
        <f t="shared" si="12"/>
        <v>42</v>
      </c>
      <c r="M248" s="92">
        <f t="shared" si="12"/>
        <v>40</v>
      </c>
    </row>
    <row r="249" spans="1:18" x14ac:dyDescent="0.25"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</row>
    <row r="250" spans="1:18" x14ac:dyDescent="0.25"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</row>
    <row r="251" spans="1:18" x14ac:dyDescent="0.25">
      <c r="B251" s="92">
        <f t="shared" ref="B251:M251" si="13">COUNT(B131:B171)</f>
        <v>38</v>
      </c>
      <c r="C251" s="92">
        <f t="shared" si="13"/>
        <v>37</v>
      </c>
      <c r="D251" s="92">
        <f t="shared" si="13"/>
        <v>36</v>
      </c>
      <c r="E251" s="92">
        <f t="shared" si="13"/>
        <v>36</v>
      </c>
      <c r="F251" s="92">
        <f t="shared" si="13"/>
        <v>33</v>
      </c>
      <c r="G251" s="92">
        <f t="shared" si="13"/>
        <v>35</v>
      </c>
      <c r="H251" s="92">
        <f t="shared" si="13"/>
        <v>36</v>
      </c>
      <c r="I251" s="92">
        <f t="shared" si="13"/>
        <v>36</v>
      </c>
      <c r="J251" s="92">
        <f t="shared" si="13"/>
        <v>29</v>
      </c>
      <c r="K251" s="92">
        <f t="shared" si="13"/>
        <v>29</v>
      </c>
      <c r="L251" s="92">
        <f t="shared" si="13"/>
        <v>37</v>
      </c>
      <c r="M251" s="92">
        <f t="shared" si="13"/>
        <v>37</v>
      </c>
    </row>
    <row r="252" spans="1:18" x14ac:dyDescent="0.25"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</row>
    <row r="253" spans="1:18" x14ac:dyDescent="0.25"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</row>
    <row r="254" spans="1:18" x14ac:dyDescent="0.25"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</row>
    <row r="255" spans="1:18" x14ac:dyDescent="0.25"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</row>
    <row r="256" spans="1:18" x14ac:dyDescent="0.25"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</row>
    <row r="257" spans="2:14" x14ac:dyDescent="0.25"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</row>
    <row r="258" spans="2:14" x14ac:dyDescent="0.25"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</row>
    <row r="259" spans="2:14" x14ac:dyDescent="0.25"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</row>
    <row r="260" spans="2:14" x14ac:dyDescent="0.25"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</row>
    <row r="261" spans="2:14" x14ac:dyDescent="0.25">
      <c r="B261" s="92">
        <f t="shared" ref="B261:M261" si="14">COUNT(B2:B257)</f>
        <v>119</v>
      </c>
      <c r="C261" s="92">
        <f t="shared" si="14"/>
        <v>116</v>
      </c>
      <c r="D261" s="92">
        <f t="shared" si="14"/>
        <v>123</v>
      </c>
      <c r="E261" s="92">
        <f t="shared" si="14"/>
        <v>112</v>
      </c>
      <c r="F261" s="92">
        <f t="shared" si="14"/>
        <v>119</v>
      </c>
      <c r="G261" s="92">
        <f t="shared" si="14"/>
        <v>108</v>
      </c>
      <c r="H261" s="92">
        <f t="shared" si="14"/>
        <v>138</v>
      </c>
      <c r="I261" s="92">
        <f t="shared" si="14"/>
        <v>124</v>
      </c>
      <c r="J261" s="92">
        <f t="shared" si="14"/>
        <v>112</v>
      </c>
      <c r="K261" s="92">
        <f t="shared" si="14"/>
        <v>116</v>
      </c>
      <c r="L261" s="92">
        <f t="shared" si="14"/>
        <v>135</v>
      </c>
      <c r="M261" s="92">
        <f t="shared" si="14"/>
        <v>130</v>
      </c>
      <c r="N261" s="92"/>
    </row>
    <row r="262" spans="2:14" x14ac:dyDescent="0.25"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</row>
    <row r="263" spans="2:14" x14ac:dyDescent="0.25"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</row>
    <row r="264" spans="2:14" x14ac:dyDescent="0.25"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</row>
    <row r="265" spans="2:14" x14ac:dyDescent="0.25"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</row>
    <row r="266" spans="2:14" x14ac:dyDescent="0.25"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</row>
    <row r="267" spans="2:14" x14ac:dyDescent="0.25"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</row>
    <row r="268" spans="2:14" x14ac:dyDescent="0.25"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</row>
    <row r="269" spans="2:14" x14ac:dyDescent="0.25"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</row>
    <row r="270" spans="2:14" x14ac:dyDescent="0.25"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</row>
    <row r="271" spans="2:14" x14ac:dyDescent="0.25"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</row>
    <row r="272" spans="2:14" x14ac:dyDescent="0.25"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</row>
    <row r="273" spans="2:14" x14ac:dyDescent="0.25"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</row>
    <row r="274" spans="2:14" x14ac:dyDescent="0.25"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</row>
    <row r="275" spans="2:14" x14ac:dyDescent="0.25"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</row>
    <row r="276" spans="2:14" x14ac:dyDescent="0.25"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</row>
    <row r="277" spans="2:14" x14ac:dyDescent="0.25"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</row>
    <row r="278" spans="2:14" x14ac:dyDescent="0.25"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</row>
    <row r="279" spans="2:14" x14ac:dyDescent="0.25"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</row>
    <row r="280" spans="2:14" x14ac:dyDescent="0.25"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</row>
    <row r="281" spans="2:14" x14ac:dyDescent="0.25"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</row>
    <row r="282" spans="2:14" x14ac:dyDescent="0.25"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</row>
    <row r="283" spans="2:14" x14ac:dyDescent="0.25"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</row>
    <row r="284" spans="2:14" x14ac:dyDescent="0.25"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</row>
    <row r="285" spans="2:14" x14ac:dyDescent="0.25"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</row>
    <row r="286" spans="2:14" x14ac:dyDescent="0.25"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</row>
    <row r="287" spans="2:14" x14ac:dyDescent="0.25"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</row>
    <row r="288" spans="2:14" x14ac:dyDescent="0.25"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</row>
    <row r="289" spans="2:14" x14ac:dyDescent="0.25"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</row>
    <row r="290" spans="2:14" x14ac:dyDescent="0.25"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</row>
    <row r="291" spans="2:14" x14ac:dyDescent="0.25"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</row>
    <row r="292" spans="2:14" x14ac:dyDescent="0.25"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</row>
    <row r="293" spans="2:14" x14ac:dyDescent="0.25"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</row>
    <row r="294" spans="2:14" x14ac:dyDescent="0.25"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</row>
    <row r="295" spans="2:14" x14ac:dyDescent="0.25"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</row>
    <row r="296" spans="2:14" x14ac:dyDescent="0.25"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</row>
    <row r="297" spans="2:14" x14ac:dyDescent="0.25"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</row>
    <row r="298" spans="2:14" x14ac:dyDescent="0.25"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</row>
    <row r="299" spans="2:14" x14ac:dyDescent="0.25"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</row>
    <row r="300" spans="2:14" x14ac:dyDescent="0.25"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</row>
    <row r="301" spans="2:14" x14ac:dyDescent="0.25"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</row>
    <row r="302" spans="2:14" x14ac:dyDescent="0.25"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</row>
    <row r="303" spans="2:14" x14ac:dyDescent="0.25"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</row>
    <row r="304" spans="2:14" x14ac:dyDescent="0.25"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</row>
    <row r="305" spans="2:14" x14ac:dyDescent="0.25"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</row>
    <row r="306" spans="2:14" x14ac:dyDescent="0.25"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</row>
    <row r="307" spans="2:14" x14ac:dyDescent="0.25"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</row>
    <row r="308" spans="2:14" x14ac:dyDescent="0.25"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</row>
    <row r="309" spans="2:14" x14ac:dyDescent="0.25"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</row>
    <row r="310" spans="2:14" x14ac:dyDescent="0.25"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</row>
    <row r="311" spans="2:14" x14ac:dyDescent="0.25"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</row>
    <row r="312" spans="2:14" x14ac:dyDescent="0.25"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</row>
    <row r="313" spans="2:14" x14ac:dyDescent="0.25"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</row>
    <row r="314" spans="2:14" x14ac:dyDescent="0.25"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</row>
    <row r="315" spans="2:14" x14ac:dyDescent="0.25"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</row>
    <row r="316" spans="2:14" x14ac:dyDescent="0.25"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</row>
    <row r="317" spans="2:14" x14ac:dyDescent="0.25"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</row>
    <row r="318" spans="2:14" x14ac:dyDescent="0.25"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</row>
    <row r="319" spans="2:14" x14ac:dyDescent="0.25"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</row>
    <row r="320" spans="2:14" x14ac:dyDescent="0.25"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</row>
    <row r="321" spans="2:14" x14ac:dyDescent="0.25"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</row>
    <row r="322" spans="2:14" x14ac:dyDescent="0.25"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</row>
    <row r="323" spans="2:14" x14ac:dyDescent="0.25"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</row>
    <row r="324" spans="2:14" x14ac:dyDescent="0.25"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</row>
    <row r="325" spans="2:14" x14ac:dyDescent="0.25"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</row>
    <row r="326" spans="2:14" x14ac:dyDescent="0.25"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</row>
    <row r="327" spans="2:14" x14ac:dyDescent="0.25"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</row>
    <row r="328" spans="2:14" x14ac:dyDescent="0.25"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</row>
    <row r="329" spans="2:14" x14ac:dyDescent="0.25"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</row>
    <row r="330" spans="2:14" x14ac:dyDescent="0.25"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</row>
    <row r="331" spans="2:14" x14ac:dyDescent="0.25"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</row>
    <row r="332" spans="2:14" x14ac:dyDescent="0.25"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</row>
    <row r="333" spans="2:14" x14ac:dyDescent="0.25"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</row>
    <row r="334" spans="2:14" x14ac:dyDescent="0.25"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</row>
    <row r="335" spans="2:14" x14ac:dyDescent="0.25"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</row>
    <row r="336" spans="2:14" x14ac:dyDescent="0.25"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</row>
    <row r="337" spans="2:14" x14ac:dyDescent="0.25"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</row>
    <row r="338" spans="2:14" x14ac:dyDescent="0.25"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</row>
    <row r="339" spans="2:14" x14ac:dyDescent="0.25"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</row>
    <row r="340" spans="2:14" x14ac:dyDescent="0.25"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</row>
    <row r="341" spans="2:14" x14ac:dyDescent="0.25"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</row>
    <row r="342" spans="2:14" x14ac:dyDescent="0.25"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</row>
    <row r="343" spans="2:14" x14ac:dyDescent="0.25"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</row>
    <row r="344" spans="2:14" x14ac:dyDescent="0.25"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</row>
    <row r="345" spans="2:14" x14ac:dyDescent="0.25"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</row>
    <row r="346" spans="2:14" x14ac:dyDescent="0.25"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</row>
    <row r="347" spans="2:14" x14ac:dyDescent="0.25"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</row>
    <row r="348" spans="2:14" x14ac:dyDescent="0.25"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</row>
    <row r="349" spans="2:14" x14ac:dyDescent="0.25"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</row>
    <row r="350" spans="2:14" x14ac:dyDescent="0.25"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</row>
    <row r="351" spans="2:14" x14ac:dyDescent="0.25"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</row>
    <row r="352" spans="2:14" x14ac:dyDescent="0.25"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</row>
    <row r="353" spans="2:14" x14ac:dyDescent="0.25"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</row>
    <row r="354" spans="2:14" x14ac:dyDescent="0.25"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</row>
    <row r="355" spans="2:14" x14ac:dyDescent="0.25"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</row>
    <row r="356" spans="2:14" x14ac:dyDescent="0.25"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</row>
    <row r="357" spans="2:14" x14ac:dyDescent="0.25"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</row>
    <row r="358" spans="2:14" x14ac:dyDescent="0.25"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</row>
    <row r="359" spans="2:14" x14ac:dyDescent="0.25"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</row>
    <row r="360" spans="2:14" x14ac:dyDescent="0.25"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</row>
    <row r="361" spans="2:14" x14ac:dyDescent="0.25"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</row>
    <row r="362" spans="2:14" x14ac:dyDescent="0.25"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</row>
    <row r="363" spans="2:14" x14ac:dyDescent="0.25"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</row>
    <row r="364" spans="2:14" x14ac:dyDescent="0.25"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</row>
    <row r="365" spans="2:14" x14ac:dyDescent="0.25"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</row>
    <row r="366" spans="2:14" x14ac:dyDescent="0.25"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</row>
    <row r="367" spans="2:14" x14ac:dyDescent="0.25"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</row>
    <row r="368" spans="2:14" x14ac:dyDescent="0.25"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</row>
    <row r="369" spans="2:14" x14ac:dyDescent="0.25"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</row>
    <row r="370" spans="2:14" x14ac:dyDescent="0.25"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</row>
    <row r="371" spans="2:14" x14ac:dyDescent="0.25"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</row>
    <row r="372" spans="2:14" x14ac:dyDescent="0.25"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</row>
    <row r="373" spans="2:14" x14ac:dyDescent="0.25"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</row>
    <row r="374" spans="2:14" x14ac:dyDescent="0.25"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</row>
    <row r="375" spans="2:14" x14ac:dyDescent="0.25"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</row>
    <row r="376" spans="2:14" x14ac:dyDescent="0.25"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</row>
    <row r="377" spans="2:14" x14ac:dyDescent="0.25"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</row>
    <row r="378" spans="2:14" x14ac:dyDescent="0.25"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</row>
    <row r="379" spans="2:14" x14ac:dyDescent="0.25"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</row>
    <row r="380" spans="2:14" x14ac:dyDescent="0.25"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</row>
    <row r="381" spans="2:14" x14ac:dyDescent="0.25"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</row>
    <row r="382" spans="2:14" x14ac:dyDescent="0.25"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</row>
    <row r="383" spans="2:14" x14ac:dyDescent="0.25"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</row>
    <row r="384" spans="2:14" x14ac:dyDescent="0.25"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</row>
    <row r="385" spans="2:14" x14ac:dyDescent="0.25"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</row>
    <row r="386" spans="2:14" x14ac:dyDescent="0.25"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</row>
    <row r="387" spans="2:14" x14ac:dyDescent="0.25"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</row>
    <row r="388" spans="2:14" x14ac:dyDescent="0.25"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</row>
    <row r="389" spans="2:14" x14ac:dyDescent="0.25"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</row>
    <row r="390" spans="2:14" x14ac:dyDescent="0.25"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</row>
    <row r="391" spans="2:14" x14ac:dyDescent="0.25"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</row>
    <row r="392" spans="2:14" x14ac:dyDescent="0.25"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</row>
    <row r="393" spans="2:14" x14ac:dyDescent="0.25"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</row>
    <row r="394" spans="2:14" x14ac:dyDescent="0.25"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</row>
    <row r="395" spans="2:14" x14ac:dyDescent="0.25"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</row>
    <row r="396" spans="2:14" x14ac:dyDescent="0.25"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</row>
    <row r="397" spans="2:14" x14ac:dyDescent="0.25"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</row>
    <row r="398" spans="2:14" x14ac:dyDescent="0.25"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</row>
    <row r="399" spans="2:14" x14ac:dyDescent="0.25"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</row>
    <row r="400" spans="2:14" x14ac:dyDescent="0.25"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</row>
    <row r="401" spans="2:14" x14ac:dyDescent="0.25"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</row>
    <row r="402" spans="2:14" x14ac:dyDescent="0.25"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</row>
    <row r="403" spans="2:14" x14ac:dyDescent="0.25"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</row>
    <row r="404" spans="2:14" x14ac:dyDescent="0.25"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</row>
    <row r="405" spans="2:14" x14ac:dyDescent="0.25"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</row>
    <row r="406" spans="2:14" x14ac:dyDescent="0.25"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</row>
    <row r="407" spans="2:14" x14ac:dyDescent="0.25"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</row>
    <row r="408" spans="2:14" x14ac:dyDescent="0.25"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</row>
    <row r="409" spans="2:14" x14ac:dyDescent="0.25"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</row>
    <row r="410" spans="2:14" x14ac:dyDescent="0.25"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</row>
    <row r="411" spans="2:14" x14ac:dyDescent="0.25"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</row>
    <row r="412" spans="2:14" x14ac:dyDescent="0.25"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</row>
    <row r="413" spans="2:14" x14ac:dyDescent="0.25"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</row>
    <row r="414" spans="2:14" x14ac:dyDescent="0.25"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</row>
    <row r="415" spans="2:14" x14ac:dyDescent="0.25"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</row>
    <row r="416" spans="2:14" x14ac:dyDescent="0.25"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</row>
    <row r="417" spans="2:14" x14ac:dyDescent="0.25"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</row>
    <row r="418" spans="2:14" x14ac:dyDescent="0.25"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</row>
    <row r="419" spans="2:14" x14ac:dyDescent="0.25"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</row>
    <row r="420" spans="2:14" x14ac:dyDescent="0.25"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</row>
    <row r="421" spans="2:14" x14ac:dyDescent="0.25"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</row>
    <row r="422" spans="2:14" x14ac:dyDescent="0.25"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</row>
    <row r="423" spans="2:14" x14ac:dyDescent="0.25"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</row>
    <row r="424" spans="2:14" x14ac:dyDescent="0.25"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</row>
    <row r="425" spans="2:14" x14ac:dyDescent="0.25"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</row>
    <row r="426" spans="2:14" x14ac:dyDescent="0.25"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</row>
    <row r="427" spans="2:14" x14ac:dyDescent="0.25"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</row>
    <row r="428" spans="2:14" x14ac:dyDescent="0.25"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</row>
    <row r="429" spans="2:14" x14ac:dyDescent="0.25"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</row>
    <row r="430" spans="2:14" x14ac:dyDescent="0.25"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</row>
    <row r="431" spans="2:14" x14ac:dyDescent="0.25"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</row>
    <row r="432" spans="2:14" x14ac:dyDescent="0.25"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</row>
    <row r="433" spans="2:14" x14ac:dyDescent="0.25"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</row>
    <row r="434" spans="2:14" x14ac:dyDescent="0.25"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</row>
    <row r="435" spans="2:14" x14ac:dyDescent="0.25"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</row>
    <row r="436" spans="2:14" x14ac:dyDescent="0.25"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</row>
    <row r="437" spans="2:14" x14ac:dyDescent="0.25"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</row>
    <row r="438" spans="2:14" x14ac:dyDescent="0.25"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</row>
    <row r="439" spans="2:14" x14ac:dyDescent="0.25"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</row>
    <row r="440" spans="2:14" x14ac:dyDescent="0.25"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</row>
    <row r="441" spans="2:14" x14ac:dyDescent="0.25"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</row>
    <row r="442" spans="2:14" x14ac:dyDescent="0.25"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</row>
    <row r="443" spans="2:14" x14ac:dyDescent="0.25"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</row>
    <row r="444" spans="2:14" x14ac:dyDescent="0.25"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</row>
    <row r="445" spans="2:14" x14ac:dyDescent="0.25"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</row>
    <row r="446" spans="2:14" x14ac:dyDescent="0.25"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</row>
    <row r="447" spans="2:14" x14ac:dyDescent="0.25"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</row>
    <row r="448" spans="2:14" x14ac:dyDescent="0.25"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</row>
    <row r="449" spans="2:14" x14ac:dyDescent="0.25"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</row>
    <row r="450" spans="2:14" x14ac:dyDescent="0.25"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</row>
    <row r="451" spans="2:14" x14ac:dyDescent="0.25"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</row>
    <row r="452" spans="2:14" x14ac:dyDescent="0.25"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</row>
    <row r="453" spans="2:14" x14ac:dyDescent="0.25"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</row>
    <row r="454" spans="2:14" x14ac:dyDescent="0.25"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</row>
    <row r="455" spans="2:14" x14ac:dyDescent="0.25"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</row>
    <row r="456" spans="2:14" x14ac:dyDescent="0.25"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</row>
    <row r="457" spans="2:14" x14ac:dyDescent="0.25"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</row>
    <row r="458" spans="2:14" x14ac:dyDescent="0.25"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</row>
    <row r="459" spans="2:14" x14ac:dyDescent="0.25"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</row>
    <row r="460" spans="2:14" x14ac:dyDescent="0.25"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</row>
    <row r="461" spans="2:14" x14ac:dyDescent="0.25"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</row>
    <row r="462" spans="2:14" x14ac:dyDescent="0.25"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</row>
    <row r="463" spans="2:14" x14ac:dyDescent="0.25"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</row>
    <row r="464" spans="2:14" x14ac:dyDescent="0.25"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</row>
    <row r="465" spans="2:14" x14ac:dyDescent="0.25"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</row>
    <row r="466" spans="2:14" x14ac:dyDescent="0.25"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</row>
    <row r="467" spans="2:14" x14ac:dyDescent="0.25"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</row>
    <row r="468" spans="2:14" x14ac:dyDescent="0.25"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</row>
    <row r="469" spans="2:14" x14ac:dyDescent="0.25"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</row>
    <row r="470" spans="2:14" x14ac:dyDescent="0.25"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</row>
    <row r="471" spans="2:14" x14ac:dyDescent="0.25"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</row>
    <row r="472" spans="2:14" x14ac:dyDescent="0.25"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</row>
    <row r="473" spans="2:14" x14ac:dyDescent="0.25"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</row>
    <row r="474" spans="2:14" x14ac:dyDescent="0.25"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</row>
    <row r="475" spans="2:14" x14ac:dyDescent="0.25"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</row>
    <row r="476" spans="2:14" x14ac:dyDescent="0.25"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</row>
    <row r="477" spans="2:14" x14ac:dyDescent="0.25"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</row>
    <row r="478" spans="2:14" x14ac:dyDescent="0.25"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</row>
    <row r="479" spans="2:14" x14ac:dyDescent="0.25"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</row>
    <row r="480" spans="2:14" x14ac:dyDescent="0.25"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</row>
    <row r="481" spans="2:14" x14ac:dyDescent="0.25"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</row>
    <row r="482" spans="2:14" x14ac:dyDescent="0.25"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</row>
    <row r="483" spans="2:14" x14ac:dyDescent="0.25"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</row>
    <row r="484" spans="2:14" x14ac:dyDescent="0.25"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</row>
    <row r="485" spans="2:14" x14ac:dyDescent="0.25"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</row>
    <row r="486" spans="2:14" x14ac:dyDescent="0.25"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</row>
    <row r="487" spans="2:14" x14ac:dyDescent="0.25"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</row>
    <row r="488" spans="2:14" x14ac:dyDescent="0.25"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</row>
    <row r="489" spans="2:14" x14ac:dyDescent="0.25"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</row>
    <row r="490" spans="2:14" x14ac:dyDescent="0.25"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</row>
    <row r="491" spans="2:14" x14ac:dyDescent="0.25"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</row>
    <row r="492" spans="2:14" x14ac:dyDescent="0.25"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</row>
    <row r="493" spans="2:14" x14ac:dyDescent="0.25"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</row>
    <row r="494" spans="2:14" x14ac:dyDescent="0.25"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</row>
    <row r="495" spans="2:14" x14ac:dyDescent="0.25"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</row>
    <row r="496" spans="2:14" x14ac:dyDescent="0.25"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</row>
    <row r="497" spans="2:14" x14ac:dyDescent="0.25"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</row>
    <row r="498" spans="2:14" x14ac:dyDescent="0.25"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</row>
    <row r="499" spans="2:14" x14ac:dyDescent="0.25"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</row>
    <row r="500" spans="2:14" x14ac:dyDescent="0.25"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</row>
    <row r="501" spans="2:14" x14ac:dyDescent="0.25"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</row>
    <row r="502" spans="2:14" x14ac:dyDescent="0.25"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</row>
    <row r="503" spans="2:14" x14ac:dyDescent="0.25"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</row>
    <row r="504" spans="2:14" x14ac:dyDescent="0.25"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</row>
    <row r="505" spans="2:14" x14ac:dyDescent="0.25"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</row>
    <row r="506" spans="2:14" x14ac:dyDescent="0.25"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</row>
    <row r="507" spans="2:14" x14ac:dyDescent="0.25"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</row>
    <row r="508" spans="2:14" x14ac:dyDescent="0.25"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</row>
    <row r="509" spans="2:14" x14ac:dyDescent="0.25"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</row>
    <row r="510" spans="2:14" x14ac:dyDescent="0.25"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</row>
    <row r="511" spans="2:14" x14ac:dyDescent="0.25"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</row>
    <row r="512" spans="2:14" x14ac:dyDescent="0.25"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</row>
    <row r="513" spans="2:14" x14ac:dyDescent="0.25"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</row>
    <row r="514" spans="2:14" x14ac:dyDescent="0.25"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</row>
    <row r="515" spans="2:14" x14ac:dyDescent="0.25"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</row>
    <row r="516" spans="2:14" x14ac:dyDescent="0.25"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</row>
    <row r="517" spans="2:14" x14ac:dyDescent="0.25"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</row>
    <row r="518" spans="2:14" x14ac:dyDescent="0.25"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</row>
    <row r="519" spans="2:14" x14ac:dyDescent="0.25"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</row>
    <row r="520" spans="2:14" x14ac:dyDescent="0.25"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</row>
    <row r="521" spans="2:14" x14ac:dyDescent="0.25"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</row>
    <row r="522" spans="2:14" x14ac:dyDescent="0.25"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</row>
    <row r="523" spans="2:14" x14ac:dyDescent="0.25"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</row>
    <row r="524" spans="2:14" x14ac:dyDescent="0.25"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</row>
    <row r="525" spans="2:14" x14ac:dyDescent="0.25"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</row>
    <row r="526" spans="2:14" x14ac:dyDescent="0.25"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</row>
    <row r="527" spans="2:14" x14ac:dyDescent="0.25"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</row>
    <row r="528" spans="2:14" x14ac:dyDescent="0.25"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</row>
    <row r="529" spans="2:14" x14ac:dyDescent="0.25"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</row>
    <row r="530" spans="2:14" x14ac:dyDescent="0.25"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</row>
    <row r="531" spans="2:14" x14ac:dyDescent="0.25"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</row>
    <row r="532" spans="2:14" x14ac:dyDescent="0.25"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</row>
    <row r="533" spans="2:14" x14ac:dyDescent="0.25"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</row>
    <row r="534" spans="2:14" x14ac:dyDescent="0.25"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</row>
    <row r="535" spans="2:14" x14ac:dyDescent="0.25"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</row>
    <row r="536" spans="2:14" x14ac:dyDescent="0.25"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</row>
    <row r="537" spans="2:14" x14ac:dyDescent="0.25"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</row>
    <row r="538" spans="2:14" x14ac:dyDescent="0.25"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</row>
    <row r="539" spans="2:14" x14ac:dyDescent="0.25"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</row>
    <row r="540" spans="2:14" x14ac:dyDescent="0.25"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</row>
    <row r="541" spans="2:14" x14ac:dyDescent="0.25"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</row>
    <row r="542" spans="2:14" x14ac:dyDescent="0.25"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</row>
    <row r="543" spans="2:14" x14ac:dyDescent="0.25"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</row>
    <row r="544" spans="2:14" x14ac:dyDescent="0.25"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</row>
    <row r="545" spans="2:14" x14ac:dyDescent="0.25"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</row>
    <row r="546" spans="2:14" x14ac:dyDescent="0.25"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</row>
    <row r="547" spans="2:14" x14ac:dyDescent="0.25"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</row>
    <row r="548" spans="2:14" x14ac:dyDescent="0.25"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</row>
    <row r="549" spans="2:14" x14ac:dyDescent="0.25"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</row>
    <row r="550" spans="2:14" x14ac:dyDescent="0.25"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</row>
    <row r="551" spans="2:14" x14ac:dyDescent="0.25"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</row>
    <row r="552" spans="2:14" x14ac:dyDescent="0.25"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</row>
    <row r="553" spans="2:14" x14ac:dyDescent="0.25"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</row>
    <row r="554" spans="2:14" x14ac:dyDescent="0.25"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</row>
    <row r="555" spans="2:14" x14ac:dyDescent="0.25"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</row>
    <row r="556" spans="2:14" x14ac:dyDescent="0.25"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</row>
    <row r="557" spans="2:14" x14ac:dyDescent="0.25"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</row>
    <row r="558" spans="2:14" x14ac:dyDescent="0.25"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</row>
    <row r="559" spans="2:14" x14ac:dyDescent="0.25"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</row>
    <row r="560" spans="2:14" x14ac:dyDescent="0.25"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</row>
    <row r="561" spans="2:14" x14ac:dyDescent="0.25"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</row>
    <row r="562" spans="2:14" x14ac:dyDescent="0.25"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</row>
    <row r="563" spans="2:14" x14ac:dyDescent="0.25"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</row>
    <row r="564" spans="2:14" x14ac:dyDescent="0.25"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</row>
    <row r="565" spans="2:14" x14ac:dyDescent="0.25"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</row>
    <row r="566" spans="2:14" x14ac:dyDescent="0.25"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</row>
    <row r="567" spans="2:14" x14ac:dyDescent="0.25"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</row>
    <row r="568" spans="2:14" x14ac:dyDescent="0.25"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</row>
    <row r="569" spans="2:14" x14ac:dyDescent="0.25"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</row>
    <row r="570" spans="2:14" x14ac:dyDescent="0.25"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</row>
    <row r="571" spans="2:14" x14ac:dyDescent="0.25"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</row>
    <row r="572" spans="2:14" x14ac:dyDescent="0.25"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</row>
    <row r="573" spans="2:14" x14ac:dyDescent="0.25"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</row>
    <row r="574" spans="2:14" x14ac:dyDescent="0.25"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</row>
    <row r="575" spans="2:14" x14ac:dyDescent="0.25"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</row>
    <row r="576" spans="2:14" x14ac:dyDescent="0.25"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</row>
    <row r="577" spans="2:14" x14ac:dyDescent="0.25"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</row>
    <row r="578" spans="2:14" x14ac:dyDescent="0.25"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</row>
    <row r="579" spans="2:14" x14ac:dyDescent="0.25"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</row>
    <row r="580" spans="2:14" x14ac:dyDescent="0.25"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</row>
    <row r="581" spans="2:14" x14ac:dyDescent="0.25"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</row>
    <row r="582" spans="2:14" x14ac:dyDescent="0.25"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</row>
    <row r="583" spans="2:14" x14ac:dyDescent="0.25"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</row>
    <row r="584" spans="2:14" x14ac:dyDescent="0.25"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</row>
    <row r="585" spans="2:14" x14ac:dyDescent="0.25"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</row>
    <row r="586" spans="2:14" x14ac:dyDescent="0.25"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</row>
    <row r="587" spans="2:14" x14ac:dyDescent="0.25"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</row>
    <row r="588" spans="2:14" x14ac:dyDescent="0.25"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</row>
    <row r="589" spans="2:14" x14ac:dyDescent="0.25"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</row>
    <row r="590" spans="2:14" x14ac:dyDescent="0.25"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</row>
    <row r="591" spans="2:14" x14ac:dyDescent="0.25"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</row>
    <row r="592" spans="2:14" x14ac:dyDescent="0.25"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</row>
    <row r="593" spans="2:14" x14ac:dyDescent="0.25"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</row>
    <row r="594" spans="2:14" x14ac:dyDescent="0.25"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</row>
    <row r="595" spans="2:14" x14ac:dyDescent="0.25"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</row>
    <row r="596" spans="2:14" x14ac:dyDescent="0.25"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</row>
    <row r="597" spans="2:14" x14ac:dyDescent="0.25"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</row>
    <row r="598" spans="2:14" x14ac:dyDescent="0.25"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</row>
    <row r="599" spans="2:14" x14ac:dyDescent="0.25"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</row>
    <row r="600" spans="2:14" x14ac:dyDescent="0.25"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</row>
    <row r="601" spans="2:14" x14ac:dyDescent="0.25"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</row>
    <row r="602" spans="2:14" x14ac:dyDescent="0.25"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</row>
    <row r="603" spans="2:14" x14ac:dyDescent="0.25"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</row>
    <row r="604" spans="2:14" x14ac:dyDescent="0.25"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</row>
    <row r="605" spans="2:14" x14ac:dyDescent="0.25"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</row>
    <row r="606" spans="2:14" x14ac:dyDescent="0.25"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</row>
    <row r="607" spans="2:14" x14ac:dyDescent="0.25"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</row>
    <row r="608" spans="2:14" x14ac:dyDescent="0.25"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</row>
    <row r="609" spans="2:14" x14ac:dyDescent="0.25"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</row>
    <row r="610" spans="2:14" x14ac:dyDescent="0.25"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</row>
    <row r="611" spans="2:14" x14ac:dyDescent="0.25"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</row>
    <row r="612" spans="2:14" x14ac:dyDescent="0.25"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</row>
    <row r="613" spans="2:14" x14ac:dyDescent="0.25"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</row>
    <row r="614" spans="2:14" x14ac:dyDescent="0.25"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</row>
    <row r="615" spans="2:14" x14ac:dyDescent="0.25"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</row>
    <row r="616" spans="2:14" x14ac:dyDescent="0.25"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</row>
    <row r="617" spans="2:14" x14ac:dyDescent="0.25"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</row>
    <row r="618" spans="2:14" x14ac:dyDescent="0.25"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</row>
    <row r="619" spans="2:14" x14ac:dyDescent="0.25"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</row>
    <row r="620" spans="2:14" x14ac:dyDescent="0.25"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</row>
    <row r="621" spans="2:14" x14ac:dyDescent="0.25"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</row>
    <row r="622" spans="2:14" x14ac:dyDescent="0.25"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</row>
    <row r="623" spans="2:14" x14ac:dyDescent="0.25"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</row>
    <row r="624" spans="2:14" x14ac:dyDescent="0.25"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</row>
    <row r="625" spans="2:14" x14ac:dyDescent="0.25"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</row>
    <row r="626" spans="2:14" x14ac:dyDescent="0.25"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</row>
    <row r="627" spans="2:14" x14ac:dyDescent="0.25"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</row>
    <row r="628" spans="2:14" x14ac:dyDescent="0.25"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</row>
    <row r="629" spans="2:14" x14ac:dyDescent="0.25"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</row>
    <row r="630" spans="2:14" x14ac:dyDescent="0.25"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</row>
    <row r="631" spans="2:14" x14ac:dyDescent="0.25"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</row>
    <row r="632" spans="2:14" x14ac:dyDescent="0.25"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</row>
    <row r="633" spans="2:14" x14ac:dyDescent="0.25"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</row>
    <row r="634" spans="2:14" x14ac:dyDescent="0.25"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</row>
    <row r="635" spans="2:14" x14ac:dyDescent="0.25"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</row>
    <row r="636" spans="2:14" x14ac:dyDescent="0.25"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</row>
    <row r="637" spans="2:14" x14ac:dyDescent="0.25"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</row>
    <row r="638" spans="2:14" x14ac:dyDescent="0.25"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</row>
    <row r="639" spans="2:14" x14ac:dyDescent="0.25"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</row>
    <row r="640" spans="2:14" x14ac:dyDescent="0.25"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</row>
    <row r="641" spans="2:14" x14ac:dyDescent="0.25"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</row>
    <row r="642" spans="2:14" x14ac:dyDescent="0.25"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</row>
    <row r="643" spans="2:14" x14ac:dyDescent="0.25"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</row>
    <row r="644" spans="2:14" x14ac:dyDescent="0.25"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</row>
    <row r="645" spans="2:14" x14ac:dyDescent="0.25"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</row>
    <row r="646" spans="2:14" x14ac:dyDescent="0.25"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</row>
    <row r="647" spans="2:14" x14ac:dyDescent="0.25"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</row>
    <row r="648" spans="2:14" x14ac:dyDescent="0.25"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</row>
    <row r="649" spans="2:14" x14ac:dyDescent="0.25"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</row>
    <row r="650" spans="2:14" x14ac:dyDescent="0.25"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</row>
    <row r="651" spans="2:14" x14ac:dyDescent="0.25"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</row>
    <row r="652" spans="2:14" x14ac:dyDescent="0.25"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</row>
    <row r="653" spans="2:14" x14ac:dyDescent="0.25"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</row>
    <row r="654" spans="2:14" x14ac:dyDescent="0.25"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</row>
    <row r="655" spans="2:14" x14ac:dyDescent="0.25"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</row>
    <row r="656" spans="2:14" x14ac:dyDescent="0.25"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</row>
    <row r="657" spans="2:14" x14ac:dyDescent="0.25"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</row>
    <row r="658" spans="2:14" x14ac:dyDescent="0.25"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</row>
    <row r="659" spans="2:14" x14ac:dyDescent="0.25"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</row>
    <row r="660" spans="2:14" x14ac:dyDescent="0.25"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</row>
    <row r="661" spans="2:14" x14ac:dyDescent="0.25"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</row>
    <row r="662" spans="2:14" x14ac:dyDescent="0.25"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</row>
    <row r="663" spans="2:14" x14ac:dyDescent="0.25"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</row>
    <row r="664" spans="2:14" x14ac:dyDescent="0.25"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</row>
    <row r="665" spans="2:14" x14ac:dyDescent="0.25"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</row>
    <row r="666" spans="2:14" x14ac:dyDescent="0.25"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</row>
    <row r="667" spans="2:14" x14ac:dyDescent="0.25"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</row>
    <row r="668" spans="2:14" x14ac:dyDescent="0.25"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</row>
    <row r="669" spans="2:14" x14ac:dyDescent="0.25"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</row>
    <row r="670" spans="2:14" x14ac:dyDescent="0.25"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</row>
    <row r="671" spans="2:14" x14ac:dyDescent="0.25"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</row>
    <row r="672" spans="2:14" x14ac:dyDescent="0.25"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</row>
    <row r="673" spans="2:14" x14ac:dyDescent="0.25"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</row>
    <row r="674" spans="2:14" x14ac:dyDescent="0.25"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</row>
    <row r="675" spans="2:14" x14ac:dyDescent="0.25"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</row>
    <row r="676" spans="2:14" x14ac:dyDescent="0.25"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</row>
    <row r="677" spans="2:14" x14ac:dyDescent="0.25"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</row>
    <row r="678" spans="2:14" x14ac:dyDescent="0.25"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</row>
    <row r="679" spans="2:14" x14ac:dyDescent="0.25"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</row>
    <row r="680" spans="2:14" x14ac:dyDescent="0.25"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</row>
    <row r="681" spans="2:14" x14ac:dyDescent="0.25"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</row>
    <row r="682" spans="2:14" x14ac:dyDescent="0.25"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</row>
    <row r="683" spans="2:14" x14ac:dyDescent="0.25"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</row>
    <row r="684" spans="2:14" x14ac:dyDescent="0.25"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</row>
    <row r="685" spans="2:14" x14ac:dyDescent="0.25"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</row>
    <row r="686" spans="2:14" x14ac:dyDescent="0.25"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</row>
    <row r="687" spans="2:14" x14ac:dyDescent="0.25"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</row>
    <row r="688" spans="2:14" x14ac:dyDescent="0.25"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</row>
    <row r="689" spans="2:14" x14ac:dyDescent="0.25"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</row>
    <row r="690" spans="2:14" x14ac:dyDescent="0.25"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</row>
    <row r="691" spans="2:14" x14ac:dyDescent="0.25"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</row>
    <row r="692" spans="2:14" x14ac:dyDescent="0.25"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</row>
    <row r="693" spans="2:14" x14ac:dyDescent="0.25"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</row>
    <row r="694" spans="2:14" x14ac:dyDescent="0.25"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</row>
    <row r="695" spans="2:14" x14ac:dyDescent="0.25"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</row>
    <row r="696" spans="2:14" x14ac:dyDescent="0.25"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</row>
    <row r="697" spans="2:14" x14ac:dyDescent="0.25"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</row>
    <row r="698" spans="2:14" x14ac:dyDescent="0.25"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</row>
    <row r="699" spans="2:14" x14ac:dyDescent="0.25"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</row>
    <row r="700" spans="2:14" x14ac:dyDescent="0.25"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</row>
    <row r="701" spans="2:14" x14ac:dyDescent="0.25"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</row>
    <row r="702" spans="2:14" x14ac:dyDescent="0.25"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</row>
    <row r="703" spans="2:14" x14ac:dyDescent="0.25"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</row>
    <row r="704" spans="2:14" x14ac:dyDescent="0.25"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</row>
    <row r="705" spans="2:14" x14ac:dyDescent="0.25"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</row>
    <row r="706" spans="2:14" x14ac:dyDescent="0.25"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</row>
    <row r="707" spans="2:14" x14ac:dyDescent="0.25"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</row>
    <row r="708" spans="2:14" x14ac:dyDescent="0.25"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</row>
    <row r="709" spans="2:14" x14ac:dyDescent="0.25"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</row>
    <row r="710" spans="2:14" x14ac:dyDescent="0.25"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</row>
    <row r="711" spans="2:14" x14ac:dyDescent="0.25"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</row>
    <row r="712" spans="2:14" x14ac:dyDescent="0.25"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</row>
    <row r="713" spans="2:14" x14ac:dyDescent="0.25"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</row>
    <row r="714" spans="2:14" x14ac:dyDescent="0.25"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</row>
    <row r="715" spans="2:14" x14ac:dyDescent="0.25"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</row>
    <row r="716" spans="2:14" x14ac:dyDescent="0.25"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</row>
    <row r="717" spans="2:14" x14ac:dyDescent="0.25"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</row>
    <row r="718" spans="2:14" x14ac:dyDescent="0.25"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</row>
    <row r="719" spans="2:14" x14ac:dyDescent="0.25"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</row>
    <row r="720" spans="2:14" x14ac:dyDescent="0.25"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</row>
    <row r="721" spans="2:14" x14ac:dyDescent="0.25"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</row>
    <row r="722" spans="2:14" x14ac:dyDescent="0.25"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</row>
    <row r="723" spans="2:14" x14ac:dyDescent="0.25"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</row>
    <row r="724" spans="2:14" x14ac:dyDescent="0.25"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</row>
    <row r="725" spans="2:14" x14ac:dyDescent="0.25"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</row>
    <row r="726" spans="2:14" x14ac:dyDescent="0.25"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</row>
    <row r="727" spans="2:14" x14ac:dyDescent="0.25"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</row>
    <row r="728" spans="2:14" x14ac:dyDescent="0.25"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</row>
    <row r="729" spans="2:14" x14ac:dyDescent="0.25"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</row>
    <row r="730" spans="2:14" x14ac:dyDescent="0.25"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</row>
    <row r="731" spans="2:14" x14ac:dyDescent="0.25"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</row>
    <row r="732" spans="2:14" x14ac:dyDescent="0.25"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</row>
    <row r="733" spans="2:14" x14ac:dyDescent="0.25"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</row>
    <row r="734" spans="2:14" x14ac:dyDescent="0.25"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</row>
    <row r="735" spans="2:14" x14ac:dyDescent="0.25"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</row>
    <row r="736" spans="2:14" x14ac:dyDescent="0.25"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</row>
    <row r="737" spans="2:14" x14ac:dyDescent="0.25"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</row>
    <row r="738" spans="2:14" x14ac:dyDescent="0.25"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</row>
    <row r="739" spans="2:14" x14ac:dyDescent="0.25"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</row>
    <row r="740" spans="2:14" x14ac:dyDescent="0.25"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</row>
    <row r="741" spans="2:14" x14ac:dyDescent="0.25"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</row>
    <row r="742" spans="2:14" x14ac:dyDescent="0.25"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</row>
    <row r="743" spans="2:14" x14ac:dyDescent="0.25"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</row>
    <row r="744" spans="2:14" x14ac:dyDescent="0.25"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</row>
    <row r="745" spans="2:14" x14ac:dyDescent="0.25"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</row>
    <row r="746" spans="2:14" x14ac:dyDescent="0.25"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</row>
    <row r="747" spans="2:14" x14ac:dyDescent="0.25"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</row>
    <row r="748" spans="2:14" x14ac:dyDescent="0.25"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</row>
    <row r="749" spans="2:14" x14ac:dyDescent="0.25"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</row>
    <row r="750" spans="2:14" x14ac:dyDescent="0.25"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</row>
    <row r="751" spans="2:14" x14ac:dyDescent="0.25"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</row>
    <row r="752" spans="2:14" x14ac:dyDescent="0.25"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</row>
    <row r="753" spans="2:14" x14ac:dyDescent="0.25"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</row>
    <row r="754" spans="2:14" x14ac:dyDescent="0.25"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</row>
    <row r="755" spans="2:14" x14ac:dyDescent="0.25"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</row>
    <row r="756" spans="2:14" x14ac:dyDescent="0.25"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</row>
    <row r="757" spans="2:14" x14ac:dyDescent="0.25"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</row>
    <row r="758" spans="2:14" x14ac:dyDescent="0.25"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</row>
    <row r="759" spans="2:14" x14ac:dyDescent="0.25"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</row>
    <row r="760" spans="2:14" x14ac:dyDescent="0.25"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</row>
    <row r="761" spans="2:14" x14ac:dyDescent="0.25"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</row>
    <row r="762" spans="2:14" x14ac:dyDescent="0.25"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</row>
    <row r="763" spans="2:14" x14ac:dyDescent="0.25"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</row>
    <row r="764" spans="2:14" x14ac:dyDescent="0.25"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</row>
    <row r="765" spans="2:14" x14ac:dyDescent="0.25"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</row>
    <row r="766" spans="2:14" x14ac:dyDescent="0.25"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</row>
    <row r="767" spans="2:14" x14ac:dyDescent="0.25"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</row>
    <row r="768" spans="2:14" x14ac:dyDescent="0.25"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</row>
    <row r="769" spans="2:14" x14ac:dyDescent="0.25"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</row>
    <row r="770" spans="2:14" x14ac:dyDescent="0.25"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</row>
    <row r="771" spans="2:14" x14ac:dyDescent="0.25"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</row>
    <row r="772" spans="2:14" x14ac:dyDescent="0.25"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</row>
    <row r="773" spans="2:14" x14ac:dyDescent="0.25"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</row>
    <row r="774" spans="2:14" x14ac:dyDescent="0.25"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</row>
    <row r="775" spans="2:14" x14ac:dyDescent="0.25"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</row>
    <row r="776" spans="2:14" x14ac:dyDescent="0.25"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</row>
    <row r="777" spans="2:14" x14ac:dyDescent="0.25"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</row>
    <row r="778" spans="2:14" x14ac:dyDescent="0.25"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</row>
    <row r="779" spans="2:14" x14ac:dyDescent="0.25"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</row>
    <row r="780" spans="2:14" x14ac:dyDescent="0.25"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</row>
    <row r="781" spans="2:14" x14ac:dyDescent="0.25"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</row>
    <row r="782" spans="2:14" x14ac:dyDescent="0.25"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</row>
    <row r="783" spans="2:14" x14ac:dyDescent="0.25"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</row>
    <row r="784" spans="2:14" x14ac:dyDescent="0.25"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</row>
    <row r="785" spans="2:14" x14ac:dyDescent="0.25"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</row>
    <row r="786" spans="2:14" x14ac:dyDescent="0.25"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</row>
    <row r="787" spans="2:14" x14ac:dyDescent="0.25"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</row>
    <row r="788" spans="2:14" x14ac:dyDescent="0.25"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</row>
    <row r="789" spans="2:14" x14ac:dyDescent="0.25"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</row>
    <row r="790" spans="2:14" x14ac:dyDescent="0.25"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</row>
    <row r="791" spans="2:14" x14ac:dyDescent="0.25"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</row>
    <row r="792" spans="2:14" x14ac:dyDescent="0.25"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</row>
    <row r="793" spans="2:14" x14ac:dyDescent="0.25"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</row>
    <row r="794" spans="2:14" x14ac:dyDescent="0.25"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</row>
    <row r="795" spans="2:14" x14ac:dyDescent="0.25"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</row>
    <row r="796" spans="2:14" x14ac:dyDescent="0.25"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</row>
    <row r="797" spans="2:14" x14ac:dyDescent="0.25"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</row>
    <row r="798" spans="2:14" x14ac:dyDescent="0.25"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</row>
    <row r="799" spans="2:14" x14ac:dyDescent="0.25"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</row>
    <row r="800" spans="2:14" x14ac:dyDescent="0.25"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</row>
    <row r="801" spans="2:14" x14ac:dyDescent="0.25"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</row>
    <row r="802" spans="2:14" x14ac:dyDescent="0.25"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</row>
    <row r="803" spans="2:14" x14ac:dyDescent="0.25"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</row>
    <row r="804" spans="2:14" x14ac:dyDescent="0.25"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</row>
    <row r="805" spans="2:14" x14ac:dyDescent="0.25"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</row>
    <row r="806" spans="2:14" x14ac:dyDescent="0.25"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</row>
    <row r="807" spans="2:14" x14ac:dyDescent="0.25"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</row>
    <row r="808" spans="2:14" x14ac:dyDescent="0.25"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</row>
    <row r="809" spans="2:14" x14ac:dyDescent="0.25"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</row>
    <row r="810" spans="2:14" x14ac:dyDescent="0.25"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</row>
    <row r="811" spans="2:14" x14ac:dyDescent="0.25"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</row>
    <row r="812" spans="2:14" x14ac:dyDescent="0.25"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</row>
    <row r="813" spans="2:14" x14ac:dyDescent="0.25"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</row>
    <row r="814" spans="2:14" x14ac:dyDescent="0.25"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</row>
    <row r="815" spans="2:14" x14ac:dyDescent="0.25"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</row>
    <row r="816" spans="2:14" x14ac:dyDescent="0.25"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</row>
    <row r="817" spans="2:14" x14ac:dyDescent="0.25"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</row>
    <row r="818" spans="2:14" x14ac:dyDescent="0.25"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</row>
    <row r="819" spans="2:14" x14ac:dyDescent="0.25"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</row>
    <row r="820" spans="2:14" x14ac:dyDescent="0.25"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</row>
    <row r="821" spans="2:14" x14ac:dyDescent="0.25"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</row>
    <row r="822" spans="2:14" x14ac:dyDescent="0.25"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</row>
    <row r="823" spans="2:14" x14ac:dyDescent="0.25"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</row>
    <row r="824" spans="2:14" x14ac:dyDescent="0.25"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</row>
    <row r="825" spans="2:14" x14ac:dyDescent="0.25"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</row>
    <row r="826" spans="2:14" x14ac:dyDescent="0.25"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</row>
    <row r="827" spans="2:14" x14ac:dyDescent="0.25"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</row>
    <row r="828" spans="2:14" x14ac:dyDescent="0.25"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</row>
    <row r="829" spans="2:14" x14ac:dyDescent="0.25"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</row>
    <row r="830" spans="2:14" x14ac:dyDescent="0.25"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</row>
    <row r="831" spans="2:14" x14ac:dyDescent="0.25"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</row>
    <row r="832" spans="2:14" x14ac:dyDescent="0.25"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</row>
    <row r="833" spans="2:14" x14ac:dyDescent="0.25"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</row>
    <row r="834" spans="2:14" x14ac:dyDescent="0.25"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</row>
    <row r="835" spans="2:14" x14ac:dyDescent="0.25"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</row>
    <row r="836" spans="2:14" x14ac:dyDescent="0.25"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</row>
    <row r="837" spans="2:14" x14ac:dyDescent="0.25"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</row>
    <row r="838" spans="2:14" x14ac:dyDescent="0.25"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</row>
    <row r="839" spans="2:14" x14ac:dyDescent="0.25"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</row>
    <row r="840" spans="2:14" x14ac:dyDescent="0.25"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</row>
    <row r="841" spans="2:14" x14ac:dyDescent="0.25"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</row>
    <row r="842" spans="2:14" x14ac:dyDescent="0.25"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</row>
    <row r="843" spans="2:14" x14ac:dyDescent="0.25"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</row>
    <row r="844" spans="2:14" x14ac:dyDescent="0.25"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</row>
    <row r="845" spans="2:14" x14ac:dyDescent="0.25"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</row>
    <row r="846" spans="2:14" x14ac:dyDescent="0.25"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</row>
    <row r="847" spans="2:14" x14ac:dyDescent="0.25"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</row>
    <row r="848" spans="2:14" x14ac:dyDescent="0.25"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</row>
    <row r="849" spans="2:14" x14ac:dyDescent="0.25"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</row>
    <row r="850" spans="2:14" x14ac:dyDescent="0.25"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</row>
    <row r="851" spans="2:14" x14ac:dyDescent="0.25"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</row>
    <row r="852" spans="2:14" x14ac:dyDescent="0.25"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</row>
    <row r="853" spans="2:14" x14ac:dyDescent="0.25"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</row>
    <row r="854" spans="2:14" x14ac:dyDescent="0.25"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</row>
    <row r="855" spans="2:14" x14ac:dyDescent="0.25"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</row>
    <row r="856" spans="2:14" x14ac:dyDescent="0.25"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</row>
    <row r="857" spans="2:14" x14ac:dyDescent="0.25"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</row>
    <row r="858" spans="2:14" x14ac:dyDescent="0.25"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</row>
    <row r="859" spans="2:14" x14ac:dyDescent="0.25"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</row>
    <row r="860" spans="2:14" x14ac:dyDescent="0.25"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</row>
    <row r="861" spans="2:14" x14ac:dyDescent="0.25"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</row>
    <row r="862" spans="2:14" x14ac:dyDescent="0.25"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</row>
    <row r="863" spans="2:14" x14ac:dyDescent="0.25"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</row>
    <row r="864" spans="2:14" x14ac:dyDescent="0.25"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</row>
    <row r="865" spans="2:14" x14ac:dyDescent="0.25"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</row>
    <row r="866" spans="2:14" x14ac:dyDescent="0.25"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</row>
    <row r="867" spans="2:14" x14ac:dyDescent="0.25"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</row>
    <row r="868" spans="2:14" x14ac:dyDescent="0.25"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</row>
    <row r="869" spans="2:14" x14ac:dyDescent="0.25"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</row>
    <row r="870" spans="2:14" x14ac:dyDescent="0.25"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</row>
    <row r="871" spans="2:14" x14ac:dyDescent="0.25"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</row>
    <row r="872" spans="2:14" x14ac:dyDescent="0.25"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</row>
    <row r="873" spans="2:14" x14ac:dyDescent="0.25"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</row>
    <row r="874" spans="2:14" x14ac:dyDescent="0.25"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</row>
    <row r="875" spans="2:14" x14ac:dyDescent="0.25"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</row>
    <row r="876" spans="2:14" x14ac:dyDescent="0.25"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</row>
    <row r="877" spans="2:14" x14ac:dyDescent="0.25"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</row>
    <row r="878" spans="2:14" x14ac:dyDescent="0.25"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</row>
    <row r="879" spans="2:14" x14ac:dyDescent="0.25"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</row>
    <row r="880" spans="2:14" x14ac:dyDescent="0.25"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</row>
    <row r="881" spans="2:14" x14ac:dyDescent="0.25"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</row>
    <row r="882" spans="2:14" x14ac:dyDescent="0.25"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</row>
    <row r="883" spans="2:14" x14ac:dyDescent="0.25"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</row>
    <row r="884" spans="2:14" x14ac:dyDescent="0.25"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</row>
    <row r="885" spans="2:14" x14ac:dyDescent="0.25"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</row>
    <row r="886" spans="2:14" x14ac:dyDescent="0.25"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</row>
    <row r="887" spans="2:14" x14ac:dyDescent="0.25"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</row>
    <row r="888" spans="2:14" x14ac:dyDescent="0.25"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</row>
    <row r="889" spans="2:14" x14ac:dyDescent="0.25"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</row>
    <row r="890" spans="2:14" x14ac:dyDescent="0.25"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</row>
    <row r="891" spans="2:14" x14ac:dyDescent="0.25"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</row>
    <row r="892" spans="2:14" x14ac:dyDescent="0.25"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</row>
    <row r="893" spans="2:14" x14ac:dyDescent="0.25"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</row>
    <row r="894" spans="2:14" x14ac:dyDescent="0.25"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</row>
    <row r="895" spans="2:14" x14ac:dyDescent="0.25"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</row>
    <row r="896" spans="2:14" x14ac:dyDescent="0.25"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</row>
    <row r="897" spans="2:14" x14ac:dyDescent="0.25"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</row>
    <row r="898" spans="2:14" x14ac:dyDescent="0.25"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</row>
    <row r="899" spans="2:14" x14ac:dyDescent="0.25"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</row>
    <row r="900" spans="2:14" x14ac:dyDescent="0.25"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</row>
    <row r="901" spans="2:14" x14ac:dyDescent="0.25"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</row>
    <row r="902" spans="2:14" x14ac:dyDescent="0.25"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</row>
    <row r="903" spans="2:14" x14ac:dyDescent="0.25"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</row>
    <row r="904" spans="2:14" x14ac:dyDescent="0.25"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</row>
    <row r="905" spans="2:14" x14ac:dyDescent="0.25"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</row>
    <row r="906" spans="2:14" x14ac:dyDescent="0.25"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</row>
    <row r="907" spans="2:14" x14ac:dyDescent="0.25"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</row>
    <row r="908" spans="2:14" x14ac:dyDescent="0.25"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</row>
    <row r="909" spans="2:14" x14ac:dyDescent="0.25"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</row>
    <row r="910" spans="2:14" x14ac:dyDescent="0.25"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</row>
    <row r="911" spans="2:14" x14ac:dyDescent="0.25"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</row>
    <row r="912" spans="2:14" x14ac:dyDescent="0.25"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</row>
    <row r="913" spans="2:14" x14ac:dyDescent="0.25"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</row>
    <row r="914" spans="2:14" x14ac:dyDescent="0.25"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</row>
    <row r="915" spans="2:14" x14ac:dyDescent="0.25"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</row>
    <row r="916" spans="2:14" x14ac:dyDescent="0.25"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</row>
    <row r="917" spans="2:14" x14ac:dyDescent="0.25"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</row>
    <row r="918" spans="2:14" x14ac:dyDescent="0.25"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</row>
    <row r="919" spans="2:14" x14ac:dyDescent="0.25"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</row>
    <row r="920" spans="2:14" x14ac:dyDescent="0.25"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</row>
    <row r="921" spans="2:14" x14ac:dyDescent="0.25"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</row>
    <row r="922" spans="2:14" x14ac:dyDescent="0.25"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</row>
    <row r="923" spans="2:14" x14ac:dyDescent="0.25"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</row>
    <row r="924" spans="2:14" x14ac:dyDescent="0.25"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</row>
    <row r="925" spans="2:14" x14ac:dyDescent="0.25"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</row>
    <row r="926" spans="2:14" x14ac:dyDescent="0.25"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</row>
    <row r="927" spans="2:14" x14ac:dyDescent="0.25"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</row>
    <row r="928" spans="2:14" x14ac:dyDescent="0.25"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</row>
    <row r="929" spans="2:14" x14ac:dyDescent="0.25"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</row>
    <row r="930" spans="2:14" x14ac:dyDescent="0.25"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</row>
    <row r="931" spans="2:14" x14ac:dyDescent="0.25"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</row>
    <row r="932" spans="2:14" x14ac:dyDescent="0.25"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</row>
    <row r="933" spans="2:14" x14ac:dyDescent="0.25"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</row>
    <row r="934" spans="2:14" x14ac:dyDescent="0.25"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</row>
    <row r="935" spans="2:14" x14ac:dyDescent="0.25"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</row>
    <row r="936" spans="2:14" x14ac:dyDescent="0.25"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</row>
    <row r="937" spans="2:14" x14ac:dyDescent="0.25"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</row>
    <row r="938" spans="2:14" x14ac:dyDescent="0.25"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</row>
    <row r="939" spans="2:14" x14ac:dyDescent="0.25"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</row>
    <row r="940" spans="2:14" x14ac:dyDescent="0.25"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</row>
    <row r="941" spans="2:14" x14ac:dyDescent="0.25"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</row>
    <row r="942" spans="2:14" x14ac:dyDescent="0.25"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</row>
    <row r="943" spans="2:14" x14ac:dyDescent="0.25"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</row>
    <row r="944" spans="2:14" x14ac:dyDescent="0.25"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</row>
    <row r="945" spans="2:14" x14ac:dyDescent="0.25"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</row>
    <row r="946" spans="2:14" x14ac:dyDescent="0.25"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</row>
    <row r="947" spans="2:14" x14ac:dyDescent="0.25"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</row>
    <row r="948" spans="2:14" x14ac:dyDescent="0.25"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</row>
    <row r="949" spans="2:14" x14ac:dyDescent="0.25"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</row>
    <row r="950" spans="2:14" x14ac:dyDescent="0.25"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</row>
    <row r="951" spans="2:14" x14ac:dyDescent="0.25"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</row>
    <row r="952" spans="2:14" x14ac:dyDescent="0.25"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</row>
    <row r="953" spans="2:14" x14ac:dyDescent="0.25"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</row>
    <row r="954" spans="2:14" x14ac:dyDescent="0.25"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</row>
    <row r="955" spans="2:14" x14ac:dyDescent="0.25"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</row>
    <row r="956" spans="2:14" x14ac:dyDescent="0.25"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</row>
    <row r="957" spans="2:14" x14ac:dyDescent="0.25"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</row>
    <row r="958" spans="2:14" x14ac:dyDescent="0.25"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</row>
    <row r="959" spans="2:14" x14ac:dyDescent="0.25"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</row>
    <row r="960" spans="2:14" x14ac:dyDescent="0.25"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</row>
    <row r="961" spans="2:14" x14ac:dyDescent="0.25"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</row>
    <row r="962" spans="2:14" x14ac:dyDescent="0.25"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</row>
    <row r="963" spans="2:14" x14ac:dyDescent="0.25"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</row>
    <row r="964" spans="2:14" x14ac:dyDescent="0.25"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</row>
    <row r="965" spans="2:14" x14ac:dyDescent="0.25"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</row>
    <row r="966" spans="2:14" x14ac:dyDescent="0.25"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</row>
    <row r="967" spans="2:14" x14ac:dyDescent="0.25"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</row>
    <row r="968" spans="2:14" x14ac:dyDescent="0.25"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</row>
    <row r="969" spans="2:14" x14ac:dyDescent="0.25"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</row>
    <row r="970" spans="2:14" x14ac:dyDescent="0.25"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</row>
    <row r="971" spans="2:14" x14ac:dyDescent="0.25"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</row>
    <row r="972" spans="2:14" x14ac:dyDescent="0.25"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</row>
    <row r="973" spans="2:14" x14ac:dyDescent="0.25"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</row>
    <row r="974" spans="2:14" x14ac:dyDescent="0.25"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</row>
    <row r="975" spans="2:14" x14ac:dyDescent="0.25"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</row>
    <row r="976" spans="2:14" x14ac:dyDescent="0.25"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</row>
    <row r="977" spans="2:14" x14ac:dyDescent="0.25"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</row>
    <row r="978" spans="2:14" x14ac:dyDescent="0.25"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</row>
    <row r="979" spans="2:14" x14ac:dyDescent="0.25"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</row>
    <row r="980" spans="2:14" x14ac:dyDescent="0.25"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</row>
    <row r="981" spans="2:14" x14ac:dyDescent="0.25"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</row>
    <row r="982" spans="2:14" x14ac:dyDescent="0.25"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</row>
    <row r="983" spans="2:14" x14ac:dyDescent="0.25"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</row>
    <row r="984" spans="2:14" x14ac:dyDescent="0.25"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</row>
    <row r="985" spans="2:14" x14ac:dyDescent="0.25"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</row>
    <row r="986" spans="2:14" x14ac:dyDescent="0.25"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</row>
    <row r="987" spans="2:14" x14ac:dyDescent="0.25"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</row>
    <row r="988" spans="2:14" x14ac:dyDescent="0.25"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</row>
    <row r="989" spans="2:14" x14ac:dyDescent="0.25"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</row>
    <row r="990" spans="2:14" x14ac:dyDescent="0.25"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</row>
    <row r="991" spans="2:14" x14ac:dyDescent="0.25"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</row>
    <row r="992" spans="2:14" x14ac:dyDescent="0.25"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</row>
    <row r="993" spans="2:14" x14ac:dyDescent="0.25"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</row>
    <row r="994" spans="2:14" x14ac:dyDescent="0.25"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</row>
    <row r="995" spans="2:14" x14ac:dyDescent="0.25"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</row>
    <row r="996" spans="2:14" x14ac:dyDescent="0.25"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</row>
    <row r="997" spans="2:14" x14ac:dyDescent="0.25"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</row>
    <row r="998" spans="2:14" x14ac:dyDescent="0.25"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</row>
    <row r="999" spans="2:14" x14ac:dyDescent="0.25"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</row>
    <row r="1000" spans="2:14" x14ac:dyDescent="0.25"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</row>
    <row r="1001" spans="2:14" x14ac:dyDescent="0.25">
      <c r="B1001" s="92"/>
      <c r="C1001" s="92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</row>
    <row r="1002" spans="2:14" x14ac:dyDescent="0.25"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</row>
    <row r="1003" spans="2:14" x14ac:dyDescent="0.25">
      <c r="B1003" s="92"/>
      <c r="C1003" s="92"/>
      <c r="D1003" s="92"/>
      <c r="E1003" s="92"/>
      <c r="F1003" s="92"/>
      <c r="G1003" s="92"/>
      <c r="H1003" s="92"/>
      <c r="I1003" s="92"/>
      <c r="J1003" s="92"/>
      <c r="K1003" s="92"/>
      <c r="L1003" s="92"/>
      <c r="M1003" s="92"/>
      <c r="N1003" s="92"/>
    </row>
    <row r="1004" spans="2:14" x14ac:dyDescent="0.25">
      <c r="B1004" s="92"/>
      <c r="C1004" s="92"/>
      <c r="D1004" s="92"/>
      <c r="E1004" s="92"/>
      <c r="F1004" s="92"/>
      <c r="G1004" s="92"/>
      <c r="H1004" s="92"/>
      <c r="I1004" s="92"/>
      <c r="J1004" s="92"/>
      <c r="K1004" s="92"/>
      <c r="L1004" s="92"/>
      <c r="M1004" s="92"/>
      <c r="N1004" s="92"/>
    </row>
    <row r="1005" spans="2:14" x14ac:dyDescent="0.25">
      <c r="B1005" s="92"/>
      <c r="C1005" s="92"/>
      <c r="D1005" s="92"/>
      <c r="E1005" s="92"/>
      <c r="F1005" s="92"/>
      <c r="G1005" s="92"/>
      <c r="H1005" s="92"/>
      <c r="I1005" s="92"/>
      <c r="J1005" s="92"/>
      <c r="K1005" s="92"/>
      <c r="L1005" s="92"/>
      <c r="M1005" s="92"/>
      <c r="N1005" s="92"/>
    </row>
    <row r="1006" spans="2:14" x14ac:dyDescent="0.25">
      <c r="B1006" s="92"/>
      <c r="C1006" s="92"/>
      <c r="D1006" s="92"/>
      <c r="E1006" s="92"/>
      <c r="F1006" s="92"/>
      <c r="G1006" s="92"/>
      <c r="H1006" s="92"/>
      <c r="I1006" s="92"/>
      <c r="J1006" s="92"/>
      <c r="K1006" s="92"/>
      <c r="L1006" s="92"/>
      <c r="M1006" s="92"/>
      <c r="N1006" s="92"/>
    </row>
    <row r="1007" spans="2:14" x14ac:dyDescent="0.25">
      <c r="B1007" s="92"/>
      <c r="C1007" s="92"/>
      <c r="D1007" s="92"/>
      <c r="E1007" s="92"/>
      <c r="F1007" s="92"/>
      <c r="G1007" s="92"/>
      <c r="H1007" s="92"/>
      <c r="I1007" s="92"/>
      <c r="J1007" s="92"/>
      <c r="K1007" s="92"/>
      <c r="L1007" s="92"/>
      <c r="M1007" s="92"/>
      <c r="N1007" s="92"/>
    </row>
    <row r="1008" spans="2:14" x14ac:dyDescent="0.25">
      <c r="B1008" s="92"/>
      <c r="C1008" s="92"/>
      <c r="D1008" s="92"/>
      <c r="E1008" s="92"/>
      <c r="F1008" s="92"/>
      <c r="G1008" s="92"/>
      <c r="H1008" s="92"/>
      <c r="I1008" s="92"/>
      <c r="J1008" s="92"/>
      <c r="K1008" s="92"/>
      <c r="L1008" s="92"/>
      <c r="M1008" s="92"/>
      <c r="N1008" s="92"/>
    </row>
    <row r="1009" spans="2:14" x14ac:dyDescent="0.25">
      <c r="B1009" s="92"/>
      <c r="C1009" s="92"/>
      <c r="D1009" s="92"/>
      <c r="E1009" s="92"/>
      <c r="F1009" s="92"/>
      <c r="G1009" s="92"/>
      <c r="H1009" s="92"/>
      <c r="I1009" s="92"/>
      <c r="J1009" s="92"/>
      <c r="K1009" s="92"/>
      <c r="L1009" s="92"/>
      <c r="M1009" s="92"/>
      <c r="N1009" s="92"/>
    </row>
    <row r="1010" spans="2:14" x14ac:dyDescent="0.25">
      <c r="B1010" s="92"/>
      <c r="C1010" s="92"/>
      <c r="D1010" s="92"/>
      <c r="E1010" s="92"/>
      <c r="F1010" s="92"/>
      <c r="G1010" s="92"/>
      <c r="H1010" s="92"/>
      <c r="I1010" s="92"/>
      <c r="J1010" s="92"/>
      <c r="K1010" s="92"/>
      <c r="L1010" s="92"/>
      <c r="M1010" s="92"/>
      <c r="N1010" s="92"/>
    </row>
    <row r="1011" spans="2:14" x14ac:dyDescent="0.25">
      <c r="B1011" s="92"/>
      <c r="C1011" s="92"/>
      <c r="D1011" s="92"/>
      <c r="E1011" s="92"/>
      <c r="F1011" s="92"/>
      <c r="G1011" s="92"/>
      <c r="H1011" s="92"/>
      <c r="I1011" s="92"/>
      <c r="J1011" s="92"/>
      <c r="K1011" s="92"/>
      <c r="L1011" s="92"/>
      <c r="M1011" s="92"/>
      <c r="N1011" s="92"/>
    </row>
    <row r="1012" spans="2:14" x14ac:dyDescent="0.25">
      <c r="B1012" s="92"/>
      <c r="C1012" s="92"/>
      <c r="D1012" s="92"/>
      <c r="E1012" s="92"/>
      <c r="F1012" s="92"/>
      <c r="G1012" s="92"/>
      <c r="H1012" s="92"/>
      <c r="I1012" s="92"/>
      <c r="J1012" s="92"/>
      <c r="K1012" s="92"/>
      <c r="L1012" s="92"/>
      <c r="M1012" s="92"/>
      <c r="N1012" s="92"/>
    </row>
    <row r="1013" spans="2:14" x14ac:dyDescent="0.25">
      <c r="B1013" s="92"/>
      <c r="C1013" s="92"/>
      <c r="D1013" s="92"/>
      <c r="E1013" s="92"/>
      <c r="F1013" s="92"/>
      <c r="G1013" s="92"/>
      <c r="H1013" s="92"/>
      <c r="I1013" s="92"/>
      <c r="J1013" s="92"/>
      <c r="K1013" s="92"/>
      <c r="L1013" s="92"/>
      <c r="M1013" s="92"/>
      <c r="N1013" s="92"/>
    </row>
    <row r="1014" spans="2:14" x14ac:dyDescent="0.25">
      <c r="B1014" s="92"/>
      <c r="C1014" s="92"/>
      <c r="D1014" s="92"/>
      <c r="E1014" s="92"/>
      <c r="F1014" s="92"/>
      <c r="G1014" s="92"/>
      <c r="H1014" s="92"/>
      <c r="I1014" s="92"/>
      <c r="J1014" s="92"/>
      <c r="K1014" s="92"/>
      <c r="L1014" s="92"/>
      <c r="M1014" s="92"/>
      <c r="N1014" s="92"/>
    </row>
    <row r="1015" spans="2:14" x14ac:dyDescent="0.25">
      <c r="B1015" s="92"/>
      <c r="C1015" s="92"/>
      <c r="D1015" s="92"/>
      <c r="E1015" s="92"/>
      <c r="F1015" s="92"/>
      <c r="G1015" s="92"/>
      <c r="H1015" s="92"/>
      <c r="I1015" s="92"/>
      <c r="J1015" s="92"/>
      <c r="K1015" s="92"/>
      <c r="L1015" s="92"/>
      <c r="M1015" s="92"/>
      <c r="N1015" s="92"/>
    </row>
    <row r="1016" spans="2:14" x14ac:dyDescent="0.25">
      <c r="B1016" s="92"/>
      <c r="C1016" s="92"/>
      <c r="D1016" s="92"/>
      <c r="E1016" s="92"/>
      <c r="F1016" s="92"/>
      <c r="G1016" s="92"/>
      <c r="H1016" s="92"/>
      <c r="I1016" s="92"/>
      <c r="J1016" s="92"/>
      <c r="K1016" s="92"/>
      <c r="L1016" s="92"/>
      <c r="M1016" s="92"/>
      <c r="N1016" s="92"/>
    </row>
    <row r="1017" spans="2:14" x14ac:dyDescent="0.25">
      <c r="B1017" s="92"/>
      <c r="C1017" s="92"/>
      <c r="D1017" s="92"/>
      <c r="E1017" s="92"/>
      <c r="F1017" s="92"/>
      <c r="G1017" s="92"/>
      <c r="H1017" s="92"/>
      <c r="I1017" s="92"/>
      <c r="J1017" s="92"/>
      <c r="K1017" s="92"/>
      <c r="L1017" s="92"/>
      <c r="M1017" s="92"/>
      <c r="N1017" s="92"/>
    </row>
    <row r="1018" spans="2:14" x14ac:dyDescent="0.25">
      <c r="B1018" s="92"/>
      <c r="C1018" s="92"/>
      <c r="D1018" s="92"/>
      <c r="E1018" s="92"/>
      <c r="F1018" s="92"/>
      <c r="G1018" s="92"/>
      <c r="H1018" s="92"/>
      <c r="I1018" s="92"/>
      <c r="J1018" s="92"/>
      <c r="K1018" s="92"/>
      <c r="L1018" s="92"/>
      <c r="M1018" s="92"/>
      <c r="N1018" s="92"/>
    </row>
    <row r="1019" spans="2:14" x14ac:dyDescent="0.25">
      <c r="B1019" s="92"/>
      <c r="C1019" s="92"/>
      <c r="D1019" s="92"/>
      <c r="E1019" s="92"/>
      <c r="F1019" s="92"/>
      <c r="G1019" s="92"/>
      <c r="H1019" s="92"/>
      <c r="I1019" s="92"/>
      <c r="J1019" s="92"/>
      <c r="K1019" s="92"/>
      <c r="L1019" s="92"/>
      <c r="M1019" s="92"/>
      <c r="N1019" s="92"/>
    </row>
    <row r="1020" spans="2:14" x14ac:dyDescent="0.25">
      <c r="B1020" s="92"/>
      <c r="C1020" s="92"/>
      <c r="D1020" s="92"/>
      <c r="E1020" s="92"/>
      <c r="F1020" s="92"/>
      <c r="G1020" s="92"/>
      <c r="H1020" s="92"/>
      <c r="I1020" s="92"/>
      <c r="J1020" s="92"/>
      <c r="K1020" s="92"/>
      <c r="L1020" s="92"/>
      <c r="M1020" s="92"/>
      <c r="N1020" s="92"/>
    </row>
    <row r="1021" spans="2:14" x14ac:dyDescent="0.25">
      <c r="B1021" s="92"/>
      <c r="C1021" s="92"/>
      <c r="D1021" s="92"/>
      <c r="E1021" s="92"/>
      <c r="F1021" s="92"/>
      <c r="G1021" s="92"/>
      <c r="H1021" s="92"/>
      <c r="I1021" s="92"/>
      <c r="J1021" s="92"/>
      <c r="K1021" s="92"/>
      <c r="L1021" s="92"/>
      <c r="M1021" s="92"/>
      <c r="N1021" s="92"/>
    </row>
    <row r="1022" spans="2:14" x14ac:dyDescent="0.25">
      <c r="B1022" s="92"/>
      <c r="C1022" s="92"/>
      <c r="D1022" s="92"/>
      <c r="E1022" s="92"/>
      <c r="F1022" s="92"/>
      <c r="G1022" s="92"/>
      <c r="H1022" s="92"/>
      <c r="I1022" s="92"/>
      <c r="J1022" s="92"/>
      <c r="K1022" s="92"/>
      <c r="L1022" s="92"/>
      <c r="M1022" s="92"/>
      <c r="N1022" s="92"/>
    </row>
    <row r="1023" spans="2:14" x14ac:dyDescent="0.25">
      <c r="B1023" s="92"/>
      <c r="C1023" s="92"/>
      <c r="D1023" s="92"/>
      <c r="E1023" s="92"/>
      <c r="F1023" s="92"/>
      <c r="G1023" s="92"/>
      <c r="H1023" s="92"/>
      <c r="I1023" s="92"/>
      <c r="J1023" s="92"/>
      <c r="K1023" s="92"/>
      <c r="L1023" s="92"/>
      <c r="M1023" s="92"/>
      <c r="N1023" s="92"/>
    </row>
    <row r="1024" spans="2:14" x14ac:dyDescent="0.25">
      <c r="B1024" s="92"/>
      <c r="C1024" s="92"/>
      <c r="D1024" s="92"/>
      <c r="E1024" s="92"/>
      <c r="F1024" s="92"/>
      <c r="G1024" s="92"/>
      <c r="H1024" s="92"/>
      <c r="I1024" s="92"/>
      <c r="J1024" s="92"/>
      <c r="K1024" s="92"/>
      <c r="L1024" s="92"/>
      <c r="M1024" s="92"/>
      <c r="N1024" s="92"/>
    </row>
    <row r="1025" spans="2:14" x14ac:dyDescent="0.25">
      <c r="B1025" s="92"/>
      <c r="C1025" s="92"/>
      <c r="D1025" s="92"/>
      <c r="E1025" s="92"/>
      <c r="F1025" s="92"/>
      <c r="G1025" s="92"/>
      <c r="H1025" s="92"/>
      <c r="I1025" s="92"/>
      <c r="J1025" s="92"/>
      <c r="K1025" s="92"/>
      <c r="L1025" s="92"/>
      <c r="M1025" s="92"/>
      <c r="N1025" s="92"/>
    </row>
    <row r="1026" spans="2:14" x14ac:dyDescent="0.25">
      <c r="B1026" s="92"/>
      <c r="C1026" s="92"/>
      <c r="D1026" s="92"/>
      <c r="E1026" s="92"/>
      <c r="F1026" s="92"/>
      <c r="G1026" s="92"/>
      <c r="H1026" s="92"/>
      <c r="I1026" s="92"/>
      <c r="J1026" s="92"/>
      <c r="K1026" s="92"/>
      <c r="L1026" s="92"/>
      <c r="M1026" s="92"/>
      <c r="N1026" s="92"/>
    </row>
    <row r="1027" spans="2:14" x14ac:dyDescent="0.25">
      <c r="B1027" s="92"/>
      <c r="C1027" s="92"/>
      <c r="D1027" s="92"/>
      <c r="E1027" s="92"/>
      <c r="F1027" s="92"/>
      <c r="G1027" s="92"/>
      <c r="H1027" s="92"/>
      <c r="I1027" s="92"/>
      <c r="J1027" s="92"/>
      <c r="K1027" s="92"/>
      <c r="L1027" s="92"/>
      <c r="M1027" s="92"/>
      <c r="N1027" s="92"/>
    </row>
    <row r="1028" spans="2:14" x14ac:dyDescent="0.25">
      <c r="B1028" s="92"/>
      <c r="C1028" s="92"/>
      <c r="D1028" s="92"/>
      <c r="E1028" s="92"/>
      <c r="F1028" s="92"/>
      <c r="G1028" s="92"/>
      <c r="H1028" s="92"/>
      <c r="I1028" s="92"/>
      <c r="J1028" s="92"/>
      <c r="K1028" s="92"/>
      <c r="L1028" s="92"/>
      <c r="M1028" s="92"/>
      <c r="N1028" s="92"/>
    </row>
    <row r="1029" spans="2:14" x14ac:dyDescent="0.25">
      <c r="B1029" s="92"/>
      <c r="C1029" s="92"/>
      <c r="D1029" s="92"/>
      <c r="E1029" s="92"/>
      <c r="F1029" s="92"/>
      <c r="G1029" s="92"/>
      <c r="H1029" s="92"/>
      <c r="I1029" s="92"/>
      <c r="J1029" s="92"/>
      <c r="K1029" s="92"/>
      <c r="L1029" s="92"/>
      <c r="M1029" s="92"/>
      <c r="N1029" s="92"/>
    </row>
    <row r="1030" spans="2:14" x14ac:dyDescent="0.25">
      <c r="B1030" s="92"/>
      <c r="C1030" s="92"/>
      <c r="D1030" s="92"/>
      <c r="E1030" s="92"/>
      <c r="F1030" s="92"/>
      <c r="G1030" s="92"/>
      <c r="H1030" s="92"/>
      <c r="I1030" s="92"/>
      <c r="J1030" s="92"/>
      <c r="K1030" s="92"/>
      <c r="L1030" s="92"/>
      <c r="M1030" s="92"/>
      <c r="N1030" s="92"/>
    </row>
    <row r="1031" spans="2:14" x14ac:dyDescent="0.25">
      <c r="B1031" s="92"/>
      <c r="C1031" s="92"/>
      <c r="D1031" s="92"/>
      <c r="E1031" s="92"/>
      <c r="F1031" s="92"/>
      <c r="G1031" s="92"/>
      <c r="H1031" s="92"/>
      <c r="I1031" s="92"/>
      <c r="J1031" s="92"/>
      <c r="K1031" s="92"/>
      <c r="L1031" s="92"/>
      <c r="M1031" s="92"/>
      <c r="N1031" s="92"/>
    </row>
    <row r="1032" spans="2:14" x14ac:dyDescent="0.25">
      <c r="B1032" s="92"/>
      <c r="C1032" s="92"/>
      <c r="D1032" s="92"/>
      <c r="E1032" s="92"/>
      <c r="F1032" s="92"/>
      <c r="G1032" s="92"/>
      <c r="H1032" s="92"/>
      <c r="I1032" s="92"/>
      <c r="J1032" s="92"/>
      <c r="K1032" s="92"/>
      <c r="L1032" s="92"/>
      <c r="M1032" s="92"/>
      <c r="N1032" s="92"/>
    </row>
    <row r="1033" spans="2:14" x14ac:dyDescent="0.25">
      <c r="B1033" s="92"/>
      <c r="C1033" s="92"/>
      <c r="D1033" s="92"/>
      <c r="E1033" s="92"/>
      <c r="F1033" s="92"/>
      <c r="G1033" s="92"/>
      <c r="H1033" s="92"/>
      <c r="I1033" s="92"/>
      <c r="J1033" s="92"/>
      <c r="K1033" s="92"/>
      <c r="L1033" s="92"/>
      <c r="M1033" s="92"/>
      <c r="N1033" s="92"/>
    </row>
    <row r="1034" spans="2:14" x14ac:dyDescent="0.25">
      <c r="B1034" s="92"/>
      <c r="C1034" s="92"/>
      <c r="D1034" s="92"/>
      <c r="E1034" s="92"/>
      <c r="F1034" s="92"/>
      <c r="G1034" s="92"/>
      <c r="H1034" s="92"/>
      <c r="I1034" s="92"/>
      <c r="J1034" s="92"/>
      <c r="K1034" s="92"/>
      <c r="L1034" s="92"/>
      <c r="M1034" s="92"/>
      <c r="N1034" s="92"/>
    </row>
    <row r="1035" spans="2:14" x14ac:dyDescent="0.25">
      <c r="B1035" s="92"/>
      <c r="C1035" s="92"/>
      <c r="D1035" s="92"/>
      <c r="E1035" s="92"/>
      <c r="F1035" s="92"/>
      <c r="G1035" s="92"/>
      <c r="H1035" s="92"/>
      <c r="I1035" s="92"/>
      <c r="J1035" s="92"/>
      <c r="K1035" s="92"/>
      <c r="L1035" s="92"/>
      <c r="M1035" s="92"/>
      <c r="N1035" s="92"/>
    </row>
    <row r="1036" spans="2:14" x14ac:dyDescent="0.25">
      <c r="B1036" s="92"/>
      <c r="C1036" s="92"/>
      <c r="D1036" s="92"/>
      <c r="E1036" s="92"/>
      <c r="F1036" s="92"/>
      <c r="G1036" s="92"/>
      <c r="H1036" s="92"/>
      <c r="I1036" s="92"/>
      <c r="J1036" s="92"/>
      <c r="K1036" s="92"/>
      <c r="L1036" s="92"/>
      <c r="M1036" s="92"/>
      <c r="N1036" s="92"/>
    </row>
    <row r="1037" spans="2:14" x14ac:dyDescent="0.25">
      <c r="B1037" s="92"/>
      <c r="C1037" s="92"/>
      <c r="D1037" s="92"/>
      <c r="E1037" s="92"/>
      <c r="F1037" s="92"/>
      <c r="G1037" s="92"/>
      <c r="H1037" s="92"/>
      <c r="I1037" s="92"/>
      <c r="J1037" s="92"/>
      <c r="K1037" s="92"/>
      <c r="L1037" s="92"/>
      <c r="M1037" s="92"/>
      <c r="N1037" s="92"/>
    </row>
    <row r="1038" spans="2:14" x14ac:dyDescent="0.25">
      <c r="B1038" s="92"/>
      <c r="C1038" s="92"/>
      <c r="D1038" s="92"/>
      <c r="E1038" s="92"/>
      <c r="F1038" s="92"/>
      <c r="G1038" s="92"/>
      <c r="H1038" s="92"/>
      <c r="I1038" s="92"/>
      <c r="J1038" s="92"/>
      <c r="K1038" s="92"/>
      <c r="L1038" s="92"/>
      <c r="M1038" s="92"/>
      <c r="N1038" s="92"/>
    </row>
    <row r="1039" spans="2:14" x14ac:dyDescent="0.25">
      <c r="B1039" s="92"/>
      <c r="C1039" s="92"/>
      <c r="D1039" s="92"/>
      <c r="E1039" s="92"/>
      <c r="F1039" s="92"/>
      <c r="G1039" s="92"/>
      <c r="H1039" s="92"/>
      <c r="I1039" s="92"/>
      <c r="J1039" s="92"/>
      <c r="K1039" s="92"/>
      <c r="L1039" s="92"/>
      <c r="M1039" s="92"/>
      <c r="N1039" s="92"/>
    </row>
    <row r="1040" spans="2:14" x14ac:dyDescent="0.25">
      <c r="B1040" s="92"/>
      <c r="C1040" s="92"/>
      <c r="D1040" s="92"/>
      <c r="E1040" s="92"/>
      <c r="F1040" s="92"/>
      <c r="G1040" s="92"/>
      <c r="H1040" s="92"/>
      <c r="I1040" s="92"/>
      <c r="J1040" s="92"/>
      <c r="K1040" s="92"/>
      <c r="L1040" s="92"/>
      <c r="M1040" s="92"/>
      <c r="N1040" s="92"/>
    </row>
    <row r="1041" spans="2:14" x14ac:dyDescent="0.25">
      <c r="B1041" s="92"/>
      <c r="C1041" s="92"/>
      <c r="D1041" s="92"/>
      <c r="E1041" s="92"/>
      <c r="F1041" s="92"/>
      <c r="G1041" s="92"/>
      <c r="H1041" s="92"/>
      <c r="I1041" s="92"/>
      <c r="J1041" s="92"/>
      <c r="K1041" s="92"/>
      <c r="L1041" s="92"/>
      <c r="M1041" s="92"/>
      <c r="N1041" s="92"/>
    </row>
    <row r="1042" spans="2:14" x14ac:dyDescent="0.25">
      <c r="B1042" s="92"/>
      <c r="C1042" s="92"/>
      <c r="D1042" s="92"/>
      <c r="E1042" s="92"/>
      <c r="F1042" s="92"/>
      <c r="G1042" s="92"/>
      <c r="H1042" s="92"/>
      <c r="I1042" s="92"/>
      <c r="J1042" s="92"/>
      <c r="K1042" s="92"/>
      <c r="L1042" s="92"/>
      <c r="M1042" s="92"/>
      <c r="N1042" s="92"/>
    </row>
    <row r="1043" spans="2:14" x14ac:dyDescent="0.25">
      <c r="B1043" s="92"/>
      <c r="C1043" s="92"/>
      <c r="D1043" s="92"/>
      <c r="E1043" s="92"/>
      <c r="F1043" s="92"/>
      <c r="G1043" s="92"/>
      <c r="H1043" s="92"/>
      <c r="I1043" s="92"/>
      <c r="J1043" s="92"/>
      <c r="K1043" s="92"/>
      <c r="L1043" s="92"/>
      <c r="M1043" s="92"/>
      <c r="N1043" s="92"/>
    </row>
    <row r="1044" spans="2:14" x14ac:dyDescent="0.25">
      <c r="B1044" s="92"/>
      <c r="C1044" s="92"/>
      <c r="D1044" s="92"/>
      <c r="E1044" s="92"/>
      <c r="F1044" s="92"/>
      <c r="G1044" s="92"/>
      <c r="H1044" s="92"/>
      <c r="I1044" s="92"/>
      <c r="J1044" s="92"/>
      <c r="K1044" s="92"/>
      <c r="L1044" s="92"/>
      <c r="M1044" s="92"/>
      <c r="N1044" s="92"/>
    </row>
    <row r="1045" spans="2:14" x14ac:dyDescent="0.25">
      <c r="B1045" s="92"/>
      <c r="C1045" s="92"/>
      <c r="D1045" s="92"/>
      <c r="E1045" s="92"/>
      <c r="F1045" s="92"/>
      <c r="G1045" s="92"/>
      <c r="H1045" s="92"/>
      <c r="I1045" s="92"/>
      <c r="J1045" s="92"/>
      <c r="K1045" s="92"/>
      <c r="L1045" s="92"/>
      <c r="M1045" s="92"/>
      <c r="N1045" s="92"/>
    </row>
    <row r="1046" spans="2:14" x14ac:dyDescent="0.25">
      <c r="B1046" s="92"/>
      <c r="C1046" s="92"/>
      <c r="D1046" s="92"/>
      <c r="E1046" s="92"/>
      <c r="F1046" s="92"/>
      <c r="G1046" s="92"/>
      <c r="H1046" s="92"/>
      <c r="I1046" s="92"/>
      <c r="J1046" s="92"/>
      <c r="K1046" s="92"/>
      <c r="L1046" s="92"/>
      <c r="M1046" s="92"/>
      <c r="N1046" s="92"/>
    </row>
    <row r="1047" spans="2:14" x14ac:dyDescent="0.25">
      <c r="B1047" s="92"/>
      <c r="C1047" s="92"/>
      <c r="D1047" s="92"/>
      <c r="E1047" s="92"/>
      <c r="F1047" s="92"/>
      <c r="G1047" s="92"/>
      <c r="H1047" s="92"/>
      <c r="I1047" s="92"/>
      <c r="J1047" s="92"/>
      <c r="K1047" s="92"/>
      <c r="L1047" s="92"/>
      <c r="M1047" s="92"/>
      <c r="N1047" s="92"/>
    </row>
    <row r="1048" spans="2:14" x14ac:dyDescent="0.25">
      <c r="B1048" s="92"/>
      <c r="C1048" s="92"/>
      <c r="D1048" s="92"/>
      <c r="E1048" s="92"/>
      <c r="F1048" s="92"/>
      <c r="G1048" s="92"/>
      <c r="H1048" s="92"/>
      <c r="I1048" s="92"/>
      <c r="J1048" s="92"/>
      <c r="K1048" s="92"/>
      <c r="L1048" s="92"/>
      <c r="M1048" s="92"/>
      <c r="N1048" s="92"/>
    </row>
    <row r="1049" spans="2:14" x14ac:dyDescent="0.25">
      <c r="B1049" s="92"/>
      <c r="C1049" s="92"/>
      <c r="D1049" s="92"/>
      <c r="E1049" s="92"/>
      <c r="F1049" s="92"/>
      <c r="G1049" s="92"/>
      <c r="H1049" s="92"/>
      <c r="I1049" s="92"/>
      <c r="J1049" s="92"/>
      <c r="K1049" s="92"/>
      <c r="L1049" s="92"/>
      <c r="M1049" s="92"/>
      <c r="N1049" s="92"/>
    </row>
    <row r="1050" spans="2:14" x14ac:dyDescent="0.25">
      <c r="B1050" s="92"/>
      <c r="C1050" s="92"/>
      <c r="D1050" s="92"/>
      <c r="E1050" s="92"/>
      <c r="F1050" s="92"/>
      <c r="G1050" s="92"/>
      <c r="H1050" s="92"/>
      <c r="I1050" s="92"/>
      <c r="J1050" s="92"/>
      <c r="K1050" s="92"/>
      <c r="L1050" s="92"/>
      <c r="M1050" s="92"/>
      <c r="N1050" s="92"/>
    </row>
    <row r="1051" spans="2:14" x14ac:dyDescent="0.25">
      <c r="B1051" s="92"/>
      <c r="C1051" s="92"/>
      <c r="D1051" s="92"/>
      <c r="E1051" s="92"/>
      <c r="F1051" s="92"/>
      <c r="G1051" s="92"/>
      <c r="H1051" s="92"/>
      <c r="I1051" s="92"/>
      <c r="J1051" s="92"/>
      <c r="K1051" s="92"/>
      <c r="L1051" s="92"/>
      <c r="M1051" s="92"/>
      <c r="N1051" s="92"/>
    </row>
    <row r="1052" spans="2:14" x14ac:dyDescent="0.25">
      <c r="B1052" s="92"/>
      <c r="C1052" s="92"/>
      <c r="D1052" s="92"/>
      <c r="E1052" s="92"/>
      <c r="F1052" s="92"/>
      <c r="G1052" s="92"/>
      <c r="H1052" s="92"/>
      <c r="I1052" s="92"/>
      <c r="J1052" s="92"/>
      <c r="K1052" s="92"/>
      <c r="L1052" s="92"/>
      <c r="M1052" s="92"/>
      <c r="N1052" s="92"/>
    </row>
    <row r="1053" spans="2:14" x14ac:dyDescent="0.25">
      <c r="B1053" s="92"/>
      <c r="C1053" s="92"/>
      <c r="D1053" s="92"/>
      <c r="E1053" s="92"/>
      <c r="F1053" s="92"/>
      <c r="G1053" s="92"/>
      <c r="H1053" s="92"/>
      <c r="I1053" s="92"/>
      <c r="J1053" s="92"/>
      <c r="K1053" s="92"/>
      <c r="L1053" s="92"/>
      <c r="M1053" s="92"/>
      <c r="N1053" s="92"/>
    </row>
    <row r="1054" spans="2:14" x14ac:dyDescent="0.25">
      <c r="B1054" s="92"/>
      <c r="C1054" s="92"/>
      <c r="D1054" s="92"/>
      <c r="E1054" s="92"/>
      <c r="F1054" s="92"/>
      <c r="G1054" s="92"/>
      <c r="H1054" s="92"/>
      <c r="I1054" s="92"/>
      <c r="J1054" s="92"/>
      <c r="K1054" s="92"/>
      <c r="L1054" s="92"/>
      <c r="M1054" s="92"/>
      <c r="N1054" s="92"/>
    </row>
    <row r="1055" spans="2:14" x14ac:dyDescent="0.25">
      <c r="B1055" s="92"/>
      <c r="C1055" s="92"/>
      <c r="D1055" s="92"/>
      <c r="E1055" s="92"/>
      <c r="F1055" s="92"/>
      <c r="G1055" s="92"/>
      <c r="H1055" s="92"/>
      <c r="I1055" s="92"/>
      <c r="J1055" s="92"/>
      <c r="K1055" s="92"/>
      <c r="L1055" s="92"/>
      <c r="M1055" s="92"/>
      <c r="N1055" s="92"/>
    </row>
    <row r="1056" spans="2:14" x14ac:dyDescent="0.25">
      <c r="B1056" s="92"/>
      <c r="C1056" s="92"/>
      <c r="D1056" s="92"/>
      <c r="E1056" s="92"/>
      <c r="F1056" s="92"/>
      <c r="G1056" s="92"/>
      <c r="H1056" s="92"/>
      <c r="I1056" s="92"/>
      <c r="J1056" s="92"/>
      <c r="K1056" s="92"/>
      <c r="L1056" s="92"/>
      <c r="M1056" s="92"/>
      <c r="N1056" s="92"/>
    </row>
    <row r="1057" spans="2:14" x14ac:dyDescent="0.25">
      <c r="B1057" s="92"/>
      <c r="C1057" s="92"/>
      <c r="D1057" s="92"/>
      <c r="E1057" s="92"/>
      <c r="F1057" s="92"/>
      <c r="G1057" s="92"/>
      <c r="H1057" s="92"/>
      <c r="I1057" s="92"/>
      <c r="J1057" s="92"/>
      <c r="K1057" s="92"/>
      <c r="L1057" s="92"/>
      <c r="M1057" s="92"/>
      <c r="N1057" s="92"/>
    </row>
    <row r="1058" spans="2:14" x14ac:dyDescent="0.25">
      <c r="B1058" s="92"/>
      <c r="C1058" s="92"/>
      <c r="D1058" s="92"/>
      <c r="E1058" s="92"/>
      <c r="F1058" s="92"/>
      <c r="G1058" s="92"/>
      <c r="H1058" s="92"/>
      <c r="I1058" s="92"/>
      <c r="J1058" s="92"/>
      <c r="K1058" s="92"/>
      <c r="L1058" s="92"/>
      <c r="M1058" s="92"/>
      <c r="N1058" s="92"/>
    </row>
    <row r="1059" spans="2:14" x14ac:dyDescent="0.25">
      <c r="B1059" s="92"/>
      <c r="C1059" s="92"/>
      <c r="D1059" s="92"/>
      <c r="E1059" s="92"/>
      <c r="F1059" s="92"/>
      <c r="G1059" s="92"/>
      <c r="H1059" s="92"/>
      <c r="I1059" s="92"/>
      <c r="J1059" s="92"/>
      <c r="K1059" s="92"/>
      <c r="L1059" s="92"/>
      <c r="M1059" s="92"/>
      <c r="N1059" s="92"/>
    </row>
    <row r="1060" spans="2:14" x14ac:dyDescent="0.25">
      <c r="B1060" s="92"/>
      <c r="C1060" s="92"/>
      <c r="D1060" s="92"/>
      <c r="E1060" s="92"/>
      <c r="F1060" s="92"/>
      <c r="G1060" s="92"/>
      <c r="H1060" s="92"/>
      <c r="I1060" s="92"/>
      <c r="J1060" s="92"/>
      <c r="K1060" s="92"/>
      <c r="L1060" s="92"/>
      <c r="M1060" s="92"/>
      <c r="N1060" s="92"/>
    </row>
    <row r="1061" spans="2:14" x14ac:dyDescent="0.25">
      <c r="B1061" s="92"/>
      <c r="C1061" s="92"/>
      <c r="D1061" s="92"/>
      <c r="E1061" s="92"/>
      <c r="F1061" s="92"/>
      <c r="G1061" s="92"/>
      <c r="H1061" s="92"/>
      <c r="I1061" s="92"/>
      <c r="J1061" s="92"/>
      <c r="K1061" s="92"/>
      <c r="L1061" s="92"/>
      <c r="M1061" s="92"/>
      <c r="N1061" s="92"/>
    </row>
    <row r="1062" spans="2:14" x14ac:dyDescent="0.25">
      <c r="B1062" s="92"/>
      <c r="C1062" s="92"/>
      <c r="D1062" s="92"/>
      <c r="E1062" s="92"/>
      <c r="F1062" s="92"/>
      <c r="G1062" s="92"/>
      <c r="H1062" s="92"/>
      <c r="I1062" s="92"/>
      <c r="J1062" s="92"/>
      <c r="K1062" s="92"/>
      <c r="L1062" s="92"/>
      <c r="M1062" s="92"/>
      <c r="N1062" s="92"/>
    </row>
    <row r="1063" spans="2:14" x14ac:dyDescent="0.25">
      <c r="B1063" s="92"/>
      <c r="C1063" s="92"/>
      <c r="D1063" s="92"/>
      <c r="E1063" s="92"/>
      <c r="F1063" s="92"/>
      <c r="G1063" s="92"/>
      <c r="H1063" s="92"/>
      <c r="I1063" s="92"/>
      <c r="J1063" s="92"/>
      <c r="K1063" s="92"/>
      <c r="L1063" s="92"/>
      <c r="M1063" s="92"/>
      <c r="N1063" s="92"/>
    </row>
    <row r="1064" spans="2:14" x14ac:dyDescent="0.25">
      <c r="B1064" s="92"/>
      <c r="C1064" s="92"/>
      <c r="D1064" s="92"/>
      <c r="E1064" s="92"/>
      <c r="F1064" s="92"/>
      <c r="G1064" s="92"/>
      <c r="H1064" s="92"/>
      <c r="I1064" s="92"/>
      <c r="J1064" s="92"/>
      <c r="K1064" s="92"/>
      <c r="L1064" s="92"/>
      <c r="M1064" s="92"/>
      <c r="N1064" s="92"/>
    </row>
    <row r="1065" spans="2:14" x14ac:dyDescent="0.25">
      <c r="B1065" s="92"/>
      <c r="C1065" s="92"/>
      <c r="D1065" s="92"/>
      <c r="E1065" s="92"/>
      <c r="F1065" s="92"/>
      <c r="G1065" s="92"/>
      <c r="H1065" s="92"/>
      <c r="I1065" s="92"/>
      <c r="J1065" s="92"/>
      <c r="K1065" s="92"/>
      <c r="L1065" s="92"/>
      <c r="M1065" s="92"/>
      <c r="N1065" s="92"/>
    </row>
  </sheetData>
  <conditionalFormatting sqref="B2:M244">
    <cfRule type="notContainsBlanks" dxfId="0" priority="1">
      <formula>LEN(TRIM(B2))&gt;0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54D8-1C46-48A3-AB0F-4A47DD993806}">
  <dimension ref="A1:AG1059"/>
  <sheetViews>
    <sheetView workbookViewId="0">
      <selection activeCell="N153" sqref="N153"/>
    </sheetView>
  </sheetViews>
  <sheetFormatPr defaultColWidth="12.5703125" defaultRowHeight="15" x14ac:dyDescent="0.25"/>
  <cols>
    <col min="1" max="1" width="4.5703125" customWidth="1"/>
    <col min="2" max="2" width="29.42578125" customWidth="1"/>
    <col min="3" max="3" width="12.5703125" customWidth="1"/>
    <col min="4" max="4" width="14.5703125" customWidth="1"/>
    <col min="5" max="15" width="12.5703125" customWidth="1"/>
  </cols>
  <sheetData>
    <row r="1" spans="1:33" ht="43.5" customHeight="1" x14ac:dyDescent="0.25">
      <c r="A1" s="76"/>
      <c r="B1" s="76" t="s">
        <v>254</v>
      </c>
      <c r="C1" s="76" t="s">
        <v>255</v>
      </c>
      <c r="D1" s="76" t="s">
        <v>256</v>
      </c>
      <c r="E1" s="76" t="s">
        <v>257</v>
      </c>
      <c r="F1" s="76" t="s">
        <v>258</v>
      </c>
      <c r="G1" s="76" t="s">
        <v>259</v>
      </c>
      <c r="H1" s="76" t="s">
        <v>260</v>
      </c>
      <c r="I1" s="76" t="s">
        <v>261</v>
      </c>
      <c r="J1" s="76" t="s">
        <v>262</v>
      </c>
      <c r="K1" s="76" t="s">
        <v>263</v>
      </c>
      <c r="L1" s="76" t="s">
        <v>264</v>
      </c>
      <c r="M1" s="76" t="s">
        <v>265</v>
      </c>
      <c r="N1" s="76" t="s">
        <v>266</v>
      </c>
      <c r="O1" s="76" t="s">
        <v>267</v>
      </c>
      <c r="P1" s="76" t="s">
        <v>281</v>
      </c>
      <c r="Q1" s="76" t="s">
        <v>292</v>
      </c>
      <c r="R1" s="76" t="s">
        <v>293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1:33" hidden="1" x14ac:dyDescent="0.25">
      <c r="A2" s="77">
        <v>1</v>
      </c>
      <c r="B2" s="78" t="s">
        <v>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7" t="s">
        <v>268</v>
      </c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</row>
    <row r="3" spans="1:33" hidden="1" x14ac:dyDescent="0.25">
      <c r="A3" s="77">
        <v>2</v>
      </c>
      <c r="B3" s="78" t="s">
        <v>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7" t="s">
        <v>268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</row>
    <row r="4" spans="1:33" hidden="1" x14ac:dyDescent="0.25">
      <c r="A4" s="77">
        <v>3</v>
      </c>
      <c r="B4" s="78" t="s">
        <v>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7" t="s">
        <v>268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</row>
    <row r="5" spans="1:33" hidden="1" x14ac:dyDescent="0.25">
      <c r="A5" s="77">
        <v>4</v>
      </c>
      <c r="B5" s="78" t="s">
        <v>9</v>
      </c>
      <c r="C5" s="79">
        <v>18</v>
      </c>
      <c r="D5" s="79">
        <v>28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7" t="s">
        <v>268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</row>
    <row r="6" spans="1:33" hidden="1" x14ac:dyDescent="0.25">
      <c r="A6" s="77">
        <v>5</v>
      </c>
      <c r="B6" s="78" t="s">
        <v>10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7" t="s">
        <v>268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</row>
    <row r="7" spans="1:33" hidden="1" x14ac:dyDescent="0.25">
      <c r="A7" s="77">
        <v>6</v>
      </c>
      <c r="B7" s="78" t="s">
        <v>11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7" t="s">
        <v>268</v>
      </c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</row>
    <row r="8" spans="1:33" hidden="1" x14ac:dyDescent="0.25">
      <c r="A8" s="77">
        <v>7</v>
      </c>
      <c r="B8" s="78" t="s">
        <v>12</v>
      </c>
      <c r="C8" s="79"/>
      <c r="D8" s="79"/>
      <c r="E8" s="79">
        <v>22</v>
      </c>
      <c r="F8" s="79">
        <v>18</v>
      </c>
      <c r="G8" s="79">
        <v>22</v>
      </c>
      <c r="H8" s="79"/>
      <c r="I8" s="79"/>
      <c r="J8" s="79"/>
      <c r="K8" s="79"/>
      <c r="L8" s="79"/>
      <c r="M8" s="79"/>
      <c r="N8" s="79"/>
      <c r="O8" s="77" t="s">
        <v>268</v>
      </c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</row>
    <row r="9" spans="1:33" hidden="1" x14ac:dyDescent="0.25">
      <c r="A9" s="77">
        <v>8</v>
      </c>
      <c r="B9" s="78" t="s">
        <v>13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7" t="s">
        <v>268</v>
      </c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hidden="1" x14ac:dyDescent="0.25">
      <c r="A10" s="77">
        <v>9</v>
      </c>
      <c r="B10" s="78" t="s">
        <v>14</v>
      </c>
      <c r="C10" s="79">
        <v>39</v>
      </c>
      <c r="D10" s="79">
        <v>33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7" t="s">
        <v>268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</row>
    <row r="11" spans="1:33" hidden="1" x14ac:dyDescent="0.25">
      <c r="A11" s="77">
        <v>10</v>
      </c>
      <c r="B11" s="78" t="s">
        <v>15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7" t="s">
        <v>268</v>
      </c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</row>
    <row r="12" spans="1:33" hidden="1" x14ac:dyDescent="0.25">
      <c r="A12" s="77">
        <v>11</v>
      </c>
      <c r="B12" s="78" t="s">
        <v>16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7" t="s">
        <v>268</v>
      </c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</row>
    <row r="13" spans="1:33" hidden="1" x14ac:dyDescent="0.25">
      <c r="A13" s="77">
        <v>12</v>
      </c>
      <c r="B13" s="78" t="s">
        <v>17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7" t="s">
        <v>268</v>
      </c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</row>
    <row r="14" spans="1:33" hidden="1" x14ac:dyDescent="0.25">
      <c r="A14" s="77">
        <v>13</v>
      </c>
      <c r="B14" s="78" t="s">
        <v>18</v>
      </c>
      <c r="C14" s="79">
        <v>9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7" t="s">
        <v>268</v>
      </c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hidden="1" x14ac:dyDescent="0.25">
      <c r="A15" s="77">
        <v>14</v>
      </c>
      <c r="B15" s="78" t="s">
        <v>19</v>
      </c>
      <c r="C15" s="79">
        <v>22</v>
      </c>
      <c r="D15" s="79">
        <v>22</v>
      </c>
      <c r="E15" s="79"/>
      <c r="F15" s="79">
        <v>26</v>
      </c>
      <c r="G15" s="79">
        <v>25</v>
      </c>
      <c r="H15" s="79"/>
      <c r="I15" s="79">
        <v>27</v>
      </c>
      <c r="J15" s="79"/>
      <c r="K15" s="79"/>
      <c r="L15" s="79">
        <v>12</v>
      </c>
      <c r="M15" s="79"/>
      <c r="N15" s="79">
        <v>16</v>
      </c>
      <c r="O15" s="77" t="s">
        <v>268</v>
      </c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idden="1" x14ac:dyDescent="0.25">
      <c r="A16" s="77">
        <v>15</v>
      </c>
      <c r="B16" s="78" t="s">
        <v>20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>
        <v>17</v>
      </c>
      <c r="O16" s="77" t="s">
        <v>268</v>
      </c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hidden="1" x14ac:dyDescent="0.25">
      <c r="A17" s="77">
        <v>16</v>
      </c>
      <c r="B17" s="78" t="s">
        <v>21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7" t="s">
        <v>268</v>
      </c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hidden="1" x14ac:dyDescent="0.25">
      <c r="A18" s="77">
        <v>17</v>
      </c>
      <c r="B18" s="78" t="s">
        <v>22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7" t="s">
        <v>268</v>
      </c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idden="1" x14ac:dyDescent="0.25">
      <c r="A19" s="77">
        <v>18</v>
      </c>
      <c r="B19" s="78" t="s">
        <v>23</v>
      </c>
      <c r="C19" s="79">
        <v>46</v>
      </c>
      <c r="D19" s="79">
        <v>49</v>
      </c>
      <c r="E19" s="79">
        <v>43</v>
      </c>
      <c r="F19" s="79">
        <v>47</v>
      </c>
      <c r="G19" s="79">
        <v>34</v>
      </c>
      <c r="H19" s="79">
        <v>45</v>
      </c>
      <c r="I19" s="79">
        <v>41</v>
      </c>
      <c r="J19" s="79">
        <v>37</v>
      </c>
      <c r="K19" s="79">
        <v>43</v>
      </c>
      <c r="L19" s="79">
        <v>36</v>
      </c>
      <c r="M19" s="79">
        <v>41</v>
      </c>
      <c r="N19" s="79">
        <v>35</v>
      </c>
      <c r="O19" s="77" t="s">
        <v>268</v>
      </c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</row>
    <row r="20" spans="1:33" hidden="1" x14ac:dyDescent="0.25">
      <c r="A20" s="77">
        <v>19</v>
      </c>
      <c r="B20" s="78" t="s">
        <v>24</v>
      </c>
      <c r="C20" s="79"/>
      <c r="D20" s="79"/>
      <c r="E20" s="79"/>
      <c r="F20" s="79">
        <v>20</v>
      </c>
      <c r="G20" s="79"/>
      <c r="H20" s="79"/>
      <c r="I20" s="79"/>
      <c r="J20" s="79"/>
      <c r="K20" s="79"/>
      <c r="L20" s="79"/>
      <c r="M20" s="79"/>
      <c r="N20" s="79">
        <v>23</v>
      </c>
      <c r="O20" s="77" t="s">
        <v>268</v>
      </c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hidden="1" x14ac:dyDescent="0.25">
      <c r="A21" s="77">
        <v>20</v>
      </c>
      <c r="B21" s="78" t="s">
        <v>25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7" t="s">
        <v>268</v>
      </c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hidden="1" x14ac:dyDescent="0.25">
      <c r="A22" s="77">
        <v>21</v>
      </c>
      <c r="B22" s="78" t="s">
        <v>26</v>
      </c>
      <c r="C22" s="79">
        <v>32</v>
      </c>
      <c r="D22" s="79">
        <v>22</v>
      </c>
      <c r="E22" s="79"/>
      <c r="F22" s="79">
        <v>27</v>
      </c>
      <c r="G22" s="79">
        <v>25</v>
      </c>
      <c r="H22" s="79"/>
      <c r="I22" s="79"/>
      <c r="J22" s="79"/>
      <c r="K22" s="79"/>
      <c r="L22" s="79"/>
      <c r="M22" s="79"/>
      <c r="N22" s="79">
        <v>27</v>
      </c>
      <c r="O22" s="77" t="s">
        <v>268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</row>
    <row r="23" spans="1:33" hidden="1" x14ac:dyDescent="0.25">
      <c r="A23" s="77">
        <v>22</v>
      </c>
      <c r="B23" s="78" t="s">
        <v>27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7" t="s">
        <v>268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</row>
    <row r="24" spans="1:33" hidden="1" x14ac:dyDescent="0.25">
      <c r="A24" s="77">
        <v>23</v>
      </c>
      <c r="B24" s="78" t="s">
        <v>28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7" t="s">
        <v>268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hidden="1" x14ac:dyDescent="0.25">
      <c r="A25" s="77">
        <v>24</v>
      </c>
      <c r="B25" s="78" t="s">
        <v>29</v>
      </c>
      <c r="C25" s="79">
        <v>30</v>
      </c>
      <c r="D25" s="79">
        <v>25</v>
      </c>
      <c r="E25" s="79"/>
      <c r="F25" s="79"/>
      <c r="G25" s="79">
        <v>28</v>
      </c>
      <c r="H25" s="79"/>
      <c r="I25" s="79"/>
      <c r="J25" s="79"/>
      <c r="K25" s="79"/>
      <c r="L25" s="79"/>
      <c r="M25" s="79"/>
      <c r="N25" s="79"/>
      <c r="O25" s="77" t="s">
        <v>268</v>
      </c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</row>
    <row r="26" spans="1:33" hidden="1" x14ac:dyDescent="0.25">
      <c r="A26" s="77">
        <v>25</v>
      </c>
      <c r="B26" s="78" t="s">
        <v>30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7" t="s">
        <v>268</v>
      </c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</row>
    <row r="27" spans="1:33" hidden="1" x14ac:dyDescent="0.25">
      <c r="A27" s="77">
        <v>26</v>
      </c>
      <c r="B27" s="78" t="s">
        <v>31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7" t="s">
        <v>268</v>
      </c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</row>
    <row r="28" spans="1:33" hidden="1" x14ac:dyDescent="0.25">
      <c r="A28" s="77">
        <v>27</v>
      </c>
      <c r="B28" s="78" t="s">
        <v>32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7" t="s">
        <v>268</v>
      </c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</row>
    <row r="29" spans="1:33" hidden="1" x14ac:dyDescent="0.25">
      <c r="A29" s="77">
        <v>28</v>
      </c>
      <c r="B29" s="78" t="s">
        <v>33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7" t="s">
        <v>268</v>
      </c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hidden="1" x14ac:dyDescent="0.25">
      <c r="A30" s="77">
        <v>29</v>
      </c>
      <c r="B30" s="78" t="s">
        <v>34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7" t="s">
        <v>268</v>
      </c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1:33" hidden="1" x14ac:dyDescent="0.25">
      <c r="A31" s="77">
        <v>30</v>
      </c>
      <c r="B31" s="78" t="s">
        <v>35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7" t="s">
        <v>268</v>
      </c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</row>
    <row r="32" spans="1:33" hidden="1" x14ac:dyDescent="0.25">
      <c r="A32" s="77">
        <v>31</v>
      </c>
      <c r="B32" s="78" t="s">
        <v>36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7" t="s">
        <v>268</v>
      </c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</row>
    <row r="33" spans="1:33" hidden="1" x14ac:dyDescent="0.25">
      <c r="A33" s="77">
        <v>32</v>
      </c>
      <c r="B33" s="78" t="s">
        <v>37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7" t="s">
        <v>268</v>
      </c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</row>
    <row r="34" spans="1:33" hidden="1" x14ac:dyDescent="0.25">
      <c r="A34" s="77">
        <v>33</v>
      </c>
      <c r="B34" s="78" t="s">
        <v>38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7" t="s">
        <v>268</v>
      </c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</row>
    <row r="35" spans="1:33" hidden="1" x14ac:dyDescent="0.25">
      <c r="A35" s="77">
        <v>34</v>
      </c>
      <c r="B35" s="78" t="s">
        <v>39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7" t="s">
        <v>268</v>
      </c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hidden="1" x14ac:dyDescent="0.25">
      <c r="A36" s="77">
        <v>35</v>
      </c>
      <c r="B36" s="78" t="s">
        <v>40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7" t="s">
        <v>268</v>
      </c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</row>
    <row r="37" spans="1:33" hidden="1" x14ac:dyDescent="0.25">
      <c r="A37" s="77">
        <v>36</v>
      </c>
      <c r="B37" s="78" t="s">
        <v>41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7" t="s">
        <v>268</v>
      </c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hidden="1" x14ac:dyDescent="0.25">
      <c r="A38" s="77">
        <v>37</v>
      </c>
      <c r="B38" s="78" t="s">
        <v>42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7" t="s">
        <v>268</v>
      </c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</row>
    <row r="39" spans="1:33" hidden="1" x14ac:dyDescent="0.25">
      <c r="A39" s="77">
        <v>38</v>
      </c>
      <c r="B39" s="78" t="s">
        <v>43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7" t="s">
        <v>268</v>
      </c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hidden="1" x14ac:dyDescent="0.25">
      <c r="A40" s="77">
        <v>39</v>
      </c>
      <c r="B40" s="78" t="s">
        <v>44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7" t="s">
        <v>268</v>
      </c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hidden="1" x14ac:dyDescent="0.25">
      <c r="A41" s="77">
        <v>40</v>
      </c>
      <c r="B41" s="78" t="s">
        <v>45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7" t="s">
        <v>268</v>
      </c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1:33" hidden="1" x14ac:dyDescent="0.25">
      <c r="A42" s="77">
        <v>41</v>
      </c>
      <c r="B42" s="78" t="s">
        <v>46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7" t="s">
        <v>268</v>
      </c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1:33" hidden="1" x14ac:dyDescent="0.25">
      <c r="A43" s="77">
        <v>42</v>
      </c>
      <c r="B43" s="78" t="s">
        <v>47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7" t="s">
        <v>268</v>
      </c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</row>
    <row r="44" spans="1:33" hidden="1" x14ac:dyDescent="0.25">
      <c r="A44" s="77">
        <v>43</v>
      </c>
      <c r="B44" s="78" t="s">
        <v>48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7" t="s">
        <v>268</v>
      </c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</row>
    <row r="45" spans="1:33" hidden="1" x14ac:dyDescent="0.25">
      <c r="A45" s="77">
        <v>44</v>
      </c>
      <c r="B45" s="78" t="s">
        <v>49</v>
      </c>
      <c r="C45" s="79">
        <v>19</v>
      </c>
      <c r="D45" s="79"/>
      <c r="E45" s="79"/>
      <c r="F45" s="79">
        <v>26</v>
      </c>
      <c r="G45" s="79">
        <v>15</v>
      </c>
      <c r="H45" s="79"/>
      <c r="I45" s="79"/>
      <c r="J45" s="79"/>
      <c r="K45" s="79"/>
      <c r="L45" s="79"/>
      <c r="M45" s="79"/>
      <c r="N45" s="79">
        <v>26</v>
      </c>
      <c r="O45" s="77" t="s">
        <v>268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</row>
    <row r="46" spans="1:33" hidden="1" x14ac:dyDescent="0.25">
      <c r="A46" s="77">
        <v>45</v>
      </c>
      <c r="B46" s="78" t="s">
        <v>50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7" t="s">
        <v>268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hidden="1" x14ac:dyDescent="0.25">
      <c r="A47" s="77">
        <v>46</v>
      </c>
      <c r="B47" s="78" t="s">
        <v>51</v>
      </c>
      <c r="C47" s="79">
        <v>16</v>
      </c>
      <c r="D47" s="79">
        <v>30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7" t="s">
        <v>268</v>
      </c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1:33" hidden="1" x14ac:dyDescent="0.25">
      <c r="A48" s="77">
        <v>47</v>
      </c>
      <c r="B48" s="78" t="s">
        <v>52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7" t="s">
        <v>268</v>
      </c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</row>
    <row r="49" spans="1:33" hidden="1" x14ac:dyDescent="0.25">
      <c r="A49" s="77">
        <v>48</v>
      </c>
      <c r="B49" s="78" t="s">
        <v>53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7" t="s">
        <v>268</v>
      </c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</row>
    <row r="50" spans="1:33" hidden="1" x14ac:dyDescent="0.25">
      <c r="A50" s="77">
        <v>49</v>
      </c>
      <c r="B50" s="78" t="s">
        <v>54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7" t="s">
        <v>268</v>
      </c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</row>
    <row r="51" spans="1:33" hidden="1" x14ac:dyDescent="0.25">
      <c r="A51" s="77">
        <v>50</v>
      </c>
      <c r="B51" s="78" t="s">
        <v>55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7" t="s">
        <v>268</v>
      </c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</row>
    <row r="52" spans="1:33" hidden="1" x14ac:dyDescent="0.25">
      <c r="A52" s="77">
        <v>51</v>
      </c>
      <c r="B52" s="78" t="s">
        <v>56</v>
      </c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7" t="s">
        <v>268</v>
      </c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idden="1" x14ac:dyDescent="0.25">
      <c r="A53" s="77">
        <v>52</v>
      </c>
      <c r="B53" s="78" t="s">
        <v>57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7" t="s">
        <v>268</v>
      </c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idden="1" x14ac:dyDescent="0.25">
      <c r="A54" s="77">
        <v>53</v>
      </c>
      <c r="B54" s="78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7" t="s">
        <v>268</v>
      </c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hidden="1" x14ac:dyDescent="0.25">
      <c r="A55" s="77">
        <v>54</v>
      </c>
      <c r="B55" s="78" t="s">
        <v>59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7" t="s">
        <v>268</v>
      </c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</row>
    <row r="56" spans="1:33" hidden="1" x14ac:dyDescent="0.25">
      <c r="A56" s="77">
        <v>55</v>
      </c>
      <c r="B56" s="78" t="s">
        <v>60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7" t="s">
        <v>268</v>
      </c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</row>
    <row r="57" spans="1:33" hidden="1" x14ac:dyDescent="0.25">
      <c r="A57" s="77">
        <v>56</v>
      </c>
      <c r="B57" s="78" t="s">
        <v>61</v>
      </c>
      <c r="C57" s="79">
        <v>26</v>
      </c>
      <c r="D57" s="79">
        <v>20</v>
      </c>
      <c r="E57" s="79"/>
      <c r="F57" s="79"/>
      <c r="G57" s="79"/>
      <c r="H57" s="79"/>
      <c r="I57" s="79"/>
      <c r="J57" s="79"/>
      <c r="K57" s="79"/>
      <c r="L57" s="79"/>
      <c r="M57" s="79"/>
      <c r="N57" s="79">
        <v>29</v>
      </c>
      <c r="O57" s="77" t="s">
        <v>268</v>
      </c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</row>
    <row r="58" spans="1:33" hidden="1" x14ac:dyDescent="0.25">
      <c r="A58" s="77">
        <v>57</v>
      </c>
      <c r="B58" s="78" t="s">
        <v>62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7" t="s">
        <v>268</v>
      </c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</row>
    <row r="59" spans="1:33" hidden="1" x14ac:dyDescent="0.25">
      <c r="A59" s="77">
        <v>58</v>
      </c>
      <c r="B59" s="78" t="s">
        <v>63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7" t="s">
        <v>268</v>
      </c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</row>
    <row r="60" spans="1:33" hidden="1" x14ac:dyDescent="0.25">
      <c r="A60" s="77">
        <v>59</v>
      </c>
      <c r="B60" s="78" t="s">
        <v>64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7" t="s">
        <v>268</v>
      </c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</row>
    <row r="61" spans="1:33" hidden="1" x14ac:dyDescent="0.25">
      <c r="A61" s="77">
        <v>60</v>
      </c>
      <c r="B61" s="78" t="s">
        <v>65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7" t="s">
        <v>268</v>
      </c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</row>
    <row r="62" spans="1:33" hidden="1" x14ac:dyDescent="0.25">
      <c r="A62" s="77">
        <v>61</v>
      </c>
      <c r="B62" s="78" t="s">
        <v>66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7" t="s">
        <v>268</v>
      </c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</row>
    <row r="63" spans="1:33" hidden="1" x14ac:dyDescent="0.25">
      <c r="A63" s="77">
        <v>1</v>
      </c>
      <c r="B63" s="78" t="s">
        <v>67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7" t="s">
        <v>269</v>
      </c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hidden="1" x14ac:dyDescent="0.25">
      <c r="A64" s="77">
        <v>2</v>
      </c>
      <c r="B64" s="78" t="s">
        <v>68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7" t="s">
        <v>285</v>
      </c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</row>
    <row r="65" spans="1:33" hidden="1" x14ac:dyDescent="0.25">
      <c r="A65" s="77">
        <v>3</v>
      </c>
      <c r="B65" s="78" t="s">
        <v>286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7" t="s">
        <v>287</v>
      </c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1:33" hidden="1" x14ac:dyDescent="0.25">
      <c r="A66" s="77">
        <v>4</v>
      </c>
      <c r="B66" s="78" t="s">
        <v>69</v>
      </c>
      <c r="C66" s="79">
        <v>26</v>
      </c>
      <c r="D66" s="79">
        <v>31</v>
      </c>
      <c r="E66" s="79">
        <v>23</v>
      </c>
      <c r="F66" s="79">
        <v>27</v>
      </c>
      <c r="G66" s="79">
        <v>24</v>
      </c>
      <c r="H66" s="79">
        <v>28</v>
      </c>
      <c r="I66" s="79">
        <v>26</v>
      </c>
      <c r="J66" s="79">
        <v>28</v>
      </c>
      <c r="K66" s="79">
        <v>24</v>
      </c>
      <c r="L66" s="79">
        <v>26</v>
      </c>
      <c r="M66" s="79">
        <v>26</v>
      </c>
      <c r="N66" s="79">
        <v>19</v>
      </c>
      <c r="O66" s="77" t="s">
        <v>287</v>
      </c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1:33" hidden="1" x14ac:dyDescent="0.25">
      <c r="A67" s="77">
        <v>5</v>
      </c>
      <c r="B67" s="78" t="s">
        <v>288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7" t="s">
        <v>287</v>
      </c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</row>
    <row r="68" spans="1:33" hidden="1" x14ac:dyDescent="0.25">
      <c r="A68" s="77">
        <v>6</v>
      </c>
      <c r="B68" s="78" t="s">
        <v>289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7" t="s">
        <v>287</v>
      </c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1:33" hidden="1" x14ac:dyDescent="0.25">
      <c r="A69" s="77">
        <v>7</v>
      </c>
      <c r="B69" s="78" t="s">
        <v>294</v>
      </c>
      <c r="C69" s="79">
        <v>16</v>
      </c>
      <c r="D69" s="79">
        <v>22</v>
      </c>
      <c r="E69" s="79"/>
      <c r="F69" s="79"/>
      <c r="G69" s="79">
        <v>19</v>
      </c>
      <c r="H69" s="79"/>
      <c r="I69" s="79"/>
      <c r="J69" s="79"/>
      <c r="K69" s="79"/>
      <c r="L69" s="79"/>
      <c r="M69" s="79"/>
      <c r="N69" s="79"/>
      <c r="O69" s="77" t="s">
        <v>295</v>
      </c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1:33" hidden="1" x14ac:dyDescent="0.25">
      <c r="A70" s="77">
        <v>8</v>
      </c>
      <c r="B70" s="78" t="s">
        <v>70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7" t="s">
        <v>285</v>
      </c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</row>
    <row r="71" spans="1:33" hidden="1" x14ac:dyDescent="0.25">
      <c r="A71" s="77">
        <v>1</v>
      </c>
      <c r="B71" s="78" t="s">
        <v>71</v>
      </c>
      <c r="C71" s="79">
        <v>31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7" t="s">
        <v>272</v>
      </c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</row>
    <row r="72" spans="1:33" hidden="1" x14ac:dyDescent="0.25">
      <c r="A72" s="77">
        <v>2</v>
      </c>
      <c r="B72" s="78" t="s">
        <v>72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7" t="s">
        <v>272</v>
      </c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</row>
    <row r="73" spans="1:33" hidden="1" x14ac:dyDescent="0.25">
      <c r="A73" s="77">
        <v>3</v>
      </c>
      <c r="B73" s="78" t="s">
        <v>73</v>
      </c>
      <c r="C73" s="79">
        <v>31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7" t="s">
        <v>272</v>
      </c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</row>
    <row r="74" spans="1:33" hidden="1" x14ac:dyDescent="0.25">
      <c r="A74" s="77">
        <v>4</v>
      </c>
      <c r="B74" s="78" t="s">
        <v>74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7" t="s">
        <v>272</v>
      </c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</row>
    <row r="75" spans="1:33" hidden="1" x14ac:dyDescent="0.25">
      <c r="A75" s="77">
        <v>5</v>
      </c>
      <c r="B75" s="78" t="s">
        <v>75</v>
      </c>
      <c r="C75" s="79"/>
      <c r="D75" s="79">
        <v>40</v>
      </c>
      <c r="E75" s="79"/>
      <c r="F75" s="79"/>
      <c r="G75" s="79">
        <v>37</v>
      </c>
      <c r="H75" s="79">
        <v>46</v>
      </c>
      <c r="I75" s="79">
        <v>44</v>
      </c>
      <c r="J75" s="79">
        <v>42</v>
      </c>
      <c r="K75" s="79">
        <v>45</v>
      </c>
      <c r="L75" s="79">
        <v>30</v>
      </c>
      <c r="M75" s="79">
        <v>40</v>
      </c>
      <c r="N75" s="79">
        <v>36</v>
      </c>
      <c r="O75" s="77" t="s">
        <v>272</v>
      </c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</row>
    <row r="76" spans="1:33" hidden="1" x14ac:dyDescent="0.25">
      <c r="A76" s="77">
        <v>6</v>
      </c>
      <c r="B76" s="78" t="s">
        <v>76</v>
      </c>
      <c r="C76" s="79">
        <v>12</v>
      </c>
      <c r="D76" s="79">
        <v>17</v>
      </c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7" t="s">
        <v>272</v>
      </c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1:33" hidden="1" x14ac:dyDescent="0.25">
      <c r="A77" s="77">
        <v>7</v>
      </c>
      <c r="B77" s="78" t="s">
        <v>77</v>
      </c>
      <c r="C77" s="79">
        <v>31</v>
      </c>
      <c r="D77" s="79">
        <v>28</v>
      </c>
      <c r="E77" s="79">
        <v>26</v>
      </c>
      <c r="F77" s="79">
        <v>30</v>
      </c>
      <c r="G77" s="79">
        <v>24</v>
      </c>
      <c r="H77" s="79">
        <v>29</v>
      </c>
      <c r="I77" s="79">
        <v>23</v>
      </c>
      <c r="J77" s="79">
        <v>32</v>
      </c>
      <c r="K77" s="79">
        <v>29</v>
      </c>
      <c r="L77" s="79">
        <v>27</v>
      </c>
      <c r="M77" s="79">
        <v>35</v>
      </c>
      <c r="N77" s="79">
        <v>23</v>
      </c>
      <c r="O77" s="77" t="s">
        <v>272</v>
      </c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</row>
    <row r="78" spans="1:33" hidden="1" x14ac:dyDescent="0.25">
      <c r="A78" s="77">
        <v>8</v>
      </c>
      <c r="B78" s="78" t="s">
        <v>78</v>
      </c>
      <c r="C78" s="79">
        <v>27</v>
      </c>
      <c r="D78" s="79"/>
      <c r="E78" s="79"/>
      <c r="F78" s="79"/>
      <c r="G78" s="79">
        <v>21</v>
      </c>
      <c r="H78" s="79">
        <v>24</v>
      </c>
      <c r="I78" s="79">
        <v>26</v>
      </c>
      <c r="J78" s="79"/>
      <c r="K78" s="79">
        <v>26</v>
      </c>
      <c r="L78" s="79"/>
      <c r="M78" s="79">
        <v>23</v>
      </c>
      <c r="N78" s="79">
        <v>21</v>
      </c>
      <c r="O78" s="77" t="s">
        <v>272</v>
      </c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</row>
    <row r="79" spans="1:33" hidden="1" x14ac:dyDescent="0.25">
      <c r="A79" s="77">
        <v>9</v>
      </c>
      <c r="B79" s="78" t="s">
        <v>79</v>
      </c>
      <c r="C79" s="79"/>
      <c r="D79" s="79">
        <v>25</v>
      </c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7" t="s">
        <v>272</v>
      </c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</row>
    <row r="80" spans="1:33" hidden="1" x14ac:dyDescent="0.25">
      <c r="A80" s="77">
        <v>10</v>
      </c>
      <c r="B80" s="78" t="s">
        <v>80</v>
      </c>
      <c r="C80" s="79">
        <v>35</v>
      </c>
      <c r="D80" s="79">
        <v>34</v>
      </c>
      <c r="E80" s="79">
        <v>14</v>
      </c>
      <c r="F80" s="79">
        <v>14</v>
      </c>
      <c r="G80" s="79">
        <v>20</v>
      </c>
      <c r="H80" s="79">
        <v>18</v>
      </c>
      <c r="I80" s="79">
        <v>25</v>
      </c>
      <c r="J80" s="79">
        <v>15</v>
      </c>
      <c r="K80" s="79">
        <v>21</v>
      </c>
      <c r="L80" s="79">
        <v>23</v>
      </c>
      <c r="M80" s="79"/>
      <c r="N80" s="79">
        <v>15</v>
      </c>
      <c r="O80" s="77" t="s">
        <v>272</v>
      </c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1:33" hidden="1" x14ac:dyDescent="0.25">
      <c r="A81" s="77">
        <v>11</v>
      </c>
      <c r="B81" s="78" t="s">
        <v>81</v>
      </c>
      <c r="C81" s="79">
        <v>14</v>
      </c>
      <c r="D81" s="79">
        <v>11</v>
      </c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7" t="s">
        <v>272</v>
      </c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</row>
    <row r="82" spans="1:33" hidden="1" x14ac:dyDescent="0.25">
      <c r="A82" s="77">
        <v>12</v>
      </c>
      <c r="B82" s="78" t="s">
        <v>82</v>
      </c>
      <c r="C82" s="79">
        <v>16</v>
      </c>
      <c r="D82" s="79">
        <v>23</v>
      </c>
      <c r="E82" s="79">
        <v>9</v>
      </c>
      <c r="F82" s="79"/>
      <c r="G82" s="79"/>
      <c r="H82" s="79"/>
      <c r="I82" s="79"/>
      <c r="J82" s="79"/>
      <c r="K82" s="79"/>
      <c r="L82" s="79"/>
      <c r="M82" s="79"/>
      <c r="N82" s="79"/>
      <c r="O82" s="77" t="s">
        <v>272</v>
      </c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1:33" hidden="1" x14ac:dyDescent="0.25">
      <c r="A83" s="77">
        <v>13</v>
      </c>
      <c r="B83" s="78" t="s">
        <v>83</v>
      </c>
      <c r="C83" s="79"/>
      <c r="D83" s="79"/>
      <c r="E83" s="79"/>
      <c r="F83" s="79"/>
      <c r="G83" s="79">
        <v>11</v>
      </c>
      <c r="H83" s="79">
        <v>46</v>
      </c>
      <c r="I83" s="79">
        <v>17</v>
      </c>
      <c r="J83" s="79"/>
      <c r="K83" s="79">
        <v>18</v>
      </c>
      <c r="L83" s="79"/>
      <c r="M83" s="79">
        <v>37</v>
      </c>
      <c r="N83" s="79">
        <v>23</v>
      </c>
      <c r="O83" s="77" t="s">
        <v>272</v>
      </c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1:33" hidden="1" x14ac:dyDescent="0.25">
      <c r="A84" s="77">
        <v>14</v>
      </c>
      <c r="B84" s="78" t="s">
        <v>84</v>
      </c>
      <c r="C84" s="79"/>
      <c r="D84" s="79">
        <v>49</v>
      </c>
      <c r="E84" s="79"/>
      <c r="F84" s="79"/>
      <c r="G84" s="79"/>
      <c r="H84" s="79">
        <v>45</v>
      </c>
      <c r="I84" s="79"/>
      <c r="J84" s="79"/>
      <c r="K84" s="79">
        <v>44</v>
      </c>
      <c r="L84" s="79"/>
      <c r="M84" s="79"/>
      <c r="N84" s="79"/>
      <c r="O84" s="77" t="s">
        <v>272</v>
      </c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1:33" hidden="1" x14ac:dyDescent="0.25">
      <c r="A85" s="77">
        <v>15</v>
      </c>
      <c r="B85" s="78" t="s">
        <v>85</v>
      </c>
      <c r="C85" s="79">
        <v>42</v>
      </c>
      <c r="D85" s="79">
        <v>46</v>
      </c>
      <c r="E85" s="79">
        <v>38</v>
      </c>
      <c r="F85" s="79"/>
      <c r="G85" s="79">
        <v>34</v>
      </c>
      <c r="H85" s="79">
        <v>42</v>
      </c>
      <c r="I85" s="79">
        <v>35</v>
      </c>
      <c r="J85" s="79">
        <v>42</v>
      </c>
      <c r="K85" s="79">
        <v>45</v>
      </c>
      <c r="L85" s="79">
        <v>24</v>
      </c>
      <c r="M85" s="79">
        <v>34</v>
      </c>
      <c r="N85" s="79"/>
      <c r="O85" s="77" t="s">
        <v>272</v>
      </c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1:33" hidden="1" x14ac:dyDescent="0.25">
      <c r="A86" s="77">
        <v>16</v>
      </c>
      <c r="B86" s="78" t="s">
        <v>86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7" t="s">
        <v>272</v>
      </c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1:33" hidden="1" x14ac:dyDescent="0.25">
      <c r="A87" s="77">
        <v>17</v>
      </c>
      <c r="B87" s="78" t="s">
        <v>87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7" t="s">
        <v>272</v>
      </c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hidden="1" x14ac:dyDescent="0.25">
      <c r="A88" s="77">
        <v>18</v>
      </c>
      <c r="B88" s="78" t="s">
        <v>88</v>
      </c>
      <c r="C88" s="79">
        <v>49</v>
      </c>
      <c r="D88" s="79">
        <v>47</v>
      </c>
      <c r="E88" s="79">
        <v>41</v>
      </c>
      <c r="F88" s="79">
        <v>48</v>
      </c>
      <c r="G88" s="79">
        <v>38</v>
      </c>
      <c r="H88" s="79">
        <v>43</v>
      </c>
      <c r="I88" s="79">
        <v>42</v>
      </c>
      <c r="J88" s="79">
        <v>39</v>
      </c>
      <c r="K88" s="79">
        <v>41</v>
      </c>
      <c r="L88" s="79">
        <v>38</v>
      </c>
      <c r="M88" s="79">
        <v>38</v>
      </c>
      <c r="N88" s="79">
        <v>36</v>
      </c>
      <c r="O88" s="77" t="s">
        <v>272</v>
      </c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1:33" hidden="1" x14ac:dyDescent="0.25">
      <c r="A89" s="77">
        <v>19</v>
      </c>
      <c r="B89" s="78" t="s">
        <v>89</v>
      </c>
      <c r="C89" s="79">
        <v>27</v>
      </c>
      <c r="D89" s="79">
        <v>9</v>
      </c>
      <c r="E89" s="79">
        <v>26</v>
      </c>
      <c r="F89" s="79"/>
      <c r="G89" s="79"/>
      <c r="H89" s="79"/>
      <c r="I89" s="79"/>
      <c r="J89" s="79"/>
      <c r="K89" s="79"/>
      <c r="L89" s="79"/>
      <c r="M89" s="79"/>
      <c r="N89" s="79"/>
      <c r="O89" s="77" t="s">
        <v>272</v>
      </c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1:33" hidden="1" x14ac:dyDescent="0.25">
      <c r="A90" s="77">
        <v>20</v>
      </c>
      <c r="B90" s="78" t="s">
        <v>90</v>
      </c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7" t="s">
        <v>272</v>
      </c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1:33" hidden="1" x14ac:dyDescent="0.25">
      <c r="A91" s="77">
        <v>21</v>
      </c>
      <c r="B91" s="78" t="s">
        <v>91</v>
      </c>
      <c r="C91" s="79">
        <v>28</v>
      </c>
      <c r="D91" s="79">
        <v>37</v>
      </c>
      <c r="E91" s="79">
        <v>23</v>
      </c>
      <c r="F91" s="79"/>
      <c r="G91" s="79"/>
      <c r="H91" s="79"/>
      <c r="I91" s="79"/>
      <c r="J91" s="79"/>
      <c r="K91" s="79"/>
      <c r="L91" s="79"/>
      <c r="M91" s="79"/>
      <c r="N91" s="79"/>
      <c r="O91" s="77" t="s">
        <v>272</v>
      </c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1:33" hidden="1" x14ac:dyDescent="0.25">
      <c r="A92" s="77">
        <v>22</v>
      </c>
      <c r="B92" s="78" t="s">
        <v>92</v>
      </c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7" t="s">
        <v>272</v>
      </c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1:33" hidden="1" x14ac:dyDescent="0.25">
      <c r="A93" s="77">
        <v>23</v>
      </c>
      <c r="B93" s="78" t="s">
        <v>93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7" t="s">
        <v>272</v>
      </c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1:33" hidden="1" x14ac:dyDescent="0.25">
      <c r="A94" s="77">
        <v>24</v>
      </c>
      <c r="B94" s="78" t="s">
        <v>94</v>
      </c>
      <c r="C94" s="79">
        <v>43</v>
      </c>
      <c r="D94" s="79">
        <v>43</v>
      </c>
      <c r="E94" s="79">
        <v>41</v>
      </c>
      <c r="F94" s="79"/>
      <c r="G94" s="79"/>
      <c r="H94" s="79"/>
      <c r="I94" s="79"/>
      <c r="J94" s="79"/>
      <c r="K94" s="79"/>
      <c r="L94" s="79"/>
      <c r="M94" s="79"/>
      <c r="N94" s="79"/>
      <c r="O94" s="77" t="s">
        <v>272</v>
      </c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1:33" hidden="1" x14ac:dyDescent="0.25">
      <c r="A95" s="77">
        <v>25</v>
      </c>
      <c r="B95" s="78" t="s">
        <v>95</v>
      </c>
      <c r="C95" s="79"/>
      <c r="D95" s="79"/>
      <c r="E95" s="79"/>
      <c r="F95" s="79"/>
      <c r="G95" s="79"/>
      <c r="H95" s="79"/>
      <c r="I95" s="79"/>
      <c r="J95" s="79">
        <v>43</v>
      </c>
      <c r="K95" s="79"/>
      <c r="L95" s="79">
        <v>38</v>
      </c>
      <c r="M95" s="79"/>
      <c r="N95" s="79"/>
      <c r="O95" s="77" t="s">
        <v>272</v>
      </c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1:33" hidden="1" x14ac:dyDescent="0.25">
      <c r="A96" s="77">
        <v>26</v>
      </c>
      <c r="B96" s="78" t="s">
        <v>96</v>
      </c>
      <c r="C96" s="79">
        <v>33</v>
      </c>
      <c r="D96" s="79"/>
      <c r="E96" s="79">
        <v>36</v>
      </c>
      <c r="F96" s="79"/>
      <c r="G96" s="79"/>
      <c r="H96" s="79"/>
      <c r="I96" s="79"/>
      <c r="J96" s="79">
        <v>29</v>
      </c>
      <c r="K96" s="79"/>
      <c r="L96" s="79">
        <v>23</v>
      </c>
      <c r="M96" s="79"/>
      <c r="N96" s="79"/>
      <c r="O96" s="77" t="s">
        <v>272</v>
      </c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1:33" hidden="1" x14ac:dyDescent="0.25">
      <c r="A97" s="77">
        <v>27</v>
      </c>
      <c r="B97" s="78" t="s">
        <v>97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7" t="s">
        <v>272</v>
      </c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1:33" hidden="1" x14ac:dyDescent="0.25">
      <c r="A98" s="77">
        <v>28</v>
      </c>
      <c r="B98" s="78" t="s">
        <v>98</v>
      </c>
      <c r="C98" s="79">
        <v>37</v>
      </c>
      <c r="D98" s="79">
        <v>33</v>
      </c>
      <c r="E98" s="79">
        <v>33</v>
      </c>
      <c r="F98" s="79">
        <v>37</v>
      </c>
      <c r="G98" s="79">
        <v>31</v>
      </c>
      <c r="H98" s="79">
        <v>46</v>
      </c>
      <c r="I98" s="79">
        <v>32</v>
      </c>
      <c r="J98" s="79">
        <v>37</v>
      </c>
      <c r="K98" s="79">
        <v>35</v>
      </c>
      <c r="L98" s="79">
        <v>35</v>
      </c>
      <c r="M98" s="79">
        <v>37</v>
      </c>
      <c r="N98" s="79">
        <v>34</v>
      </c>
      <c r="O98" s="77" t="s">
        <v>272</v>
      </c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hidden="1" x14ac:dyDescent="0.25">
      <c r="A99" s="77">
        <v>29</v>
      </c>
      <c r="B99" s="78" t="s">
        <v>99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7" t="s">
        <v>272</v>
      </c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hidden="1" x14ac:dyDescent="0.25">
      <c r="A100" s="77">
        <v>30</v>
      </c>
      <c r="B100" s="78" t="s">
        <v>100</v>
      </c>
      <c r="C100" s="79"/>
      <c r="D100" s="79">
        <v>38</v>
      </c>
      <c r="E100" s="79"/>
      <c r="F100" s="79">
        <v>33</v>
      </c>
      <c r="G100" s="79">
        <v>30</v>
      </c>
      <c r="H100" s="79"/>
      <c r="I100" s="79">
        <v>25</v>
      </c>
      <c r="J100" s="79"/>
      <c r="K100" s="79">
        <v>27</v>
      </c>
      <c r="L100" s="79"/>
      <c r="M100" s="79"/>
      <c r="N100" s="79">
        <v>27</v>
      </c>
      <c r="O100" s="77" t="s">
        <v>272</v>
      </c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hidden="1" x14ac:dyDescent="0.25">
      <c r="A101" s="77">
        <v>31</v>
      </c>
      <c r="B101" s="78" t="s">
        <v>101</v>
      </c>
      <c r="C101" s="79"/>
      <c r="D101" s="79"/>
      <c r="E101" s="79"/>
      <c r="F101" s="79"/>
      <c r="G101" s="79"/>
      <c r="H101" s="79"/>
      <c r="I101" s="79"/>
      <c r="J101" s="79">
        <v>13</v>
      </c>
      <c r="K101" s="79"/>
      <c r="L101" s="79">
        <v>16</v>
      </c>
      <c r="M101" s="79"/>
      <c r="N101" s="79"/>
      <c r="O101" s="77" t="s">
        <v>272</v>
      </c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1:33" hidden="1" x14ac:dyDescent="0.25">
      <c r="A102" s="77">
        <v>1</v>
      </c>
      <c r="B102" s="78" t="s">
        <v>102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7" t="s">
        <v>273</v>
      </c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1:33" hidden="1" x14ac:dyDescent="0.25">
      <c r="A103" s="77">
        <v>2</v>
      </c>
      <c r="B103" s="78" t="s">
        <v>103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7" t="s">
        <v>273</v>
      </c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1:33" hidden="1" x14ac:dyDescent="0.25">
      <c r="A104" s="77">
        <v>3</v>
      </c>
      <c r="B104" s="78" t="s">
        <v>104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7" t="s">
        <v>273</v>
      </c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1:33" hidden="1" x14ac:dyDescent="0.25">
      <c r="A105" s="77">
        <v>4</v>
      </c>
      <c r="B105" s="78" t="s">
        <v>105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7" t="s">
        <v>273</v>
      </c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1:33" hidden="1" x14ac:dyDescent="0.25">
      <c r="A106" s="77">
        <v>5</v>
      </c>
      <c r="B106" s="78" t="s">
        <v>106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7" t="s">
        <v>273</v>
      </c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1:33" hidden="1" x14ac:dyDescent="0.25">
      <c r="A107" s="77">
        <v>6</v>
      </c>
      <c r="B107" s="78" t="s">
        <v>107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7" t="s">
        <v>273</v>
      </c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1:33" hidden="1" x14ac:dyDescent="0.25">
      <c r="A108" s="77">
        <v>7</v>
      </c>
      <c r="B108" s="78" t="s">
        <v>108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7" t="s">
        <v>273</v>
      </c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1:33" hidden="1" x14ac:dyDescent="0.25">
      <c r="A109" s="77">
        <v>8</v>
      </c>
      <c r="B109" s="78" t="s">
        <v>109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7" t="s">
        <v>273</v>
      </c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</row>
    <row r="110" spans="1:33" hidden="1" x14ac:dyDescent="0.25">
      <c r="A110" s="77">
        <v>9</v>
      </c>
      <c r="B110" s="78" t="s">
        <v>110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7" t="s">
        <v>273</v>
      </c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</row>
    <row r="111" spans="1:33" hidden="1" x14ac:dyDescent="0.25">
      <c r="A111" s="77">
        <v>10</v>
      </c>
      <c r="B111" s="78" t="s">
        <v>111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7" t="s">
        <v>273</v>
      </c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hidden="1" x14ac:dyDescent="0.25">
      <c r="A112" s="77">
        <v>11</v>
      </c>
      <c r="B112" s="78" t="s">
        <v>112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7" t="s">
        <v>273</v>
      </c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</row>
    <row r="113" spans="1:33" hidden="1" x14ac:dyDescent="0.25">
      <c r="A113" s="77">
        <v>12</v>
      </c>
      <c r="B113" s="78" t="s">
        <v>113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7" t="s">
        <v>273</v>
      </c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</row>
    <row r="114" spans="1:33" hidden="1" x14ac:dyDescent="0.25">
      <c r="A114" s="77">
        <v>13</v>
      </c>
      <c r="B114" s="78" t="s">
        <v>114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7" t="s">
        <v>273</v>
      </c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</row>
    <row r="115" spans="1:33" hidden="1" x14ac:dyDescent="0.25">
      <c r="A115" s="77">
        <v>14</v>
      </c>
      <c r="B115" s="78" t="s">
        <v>115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7" t="s">
        <v>273</v>
      </c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</row>
    <row r="116" spans="1:33" hidden="1" x14ac:dyDescent="0.25">
      <c r="A116" s="77">
        <v>15</v>
      </c>
      <c r="B116" s="78" t="s">
        <v>116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7" t="s">
        <v>273</v>
      </c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</row>
    <row r="117" spans="1:33" hidden="1" x14ac:dyDescent="0.25">
      <c r="A117" s="77">
        <v>16</v>
      </c>
      <c r="B117" s="78" t="s">
        <v>117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7" t="s">
        <v>273</v>
      </c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</row>
    <row r="118" spans="1:33" hidden="1" x14ac:dyDescent="0.25">
      <c r="A118" s="77">
        <v>17</v>
      </c>
      <c r="B118" s="78" t="s">
        <v>118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7" t="s">
        <v>273</v>
      </c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</row>
    <row r="119" spans="1:33" hidden="1" x14ac:dyDescent="0.25">
      <c r="A119" s="77">
        <v>18</v>
      </c>
      <c r="B119" s="78" t="s">
        <v>119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7" t="s">
        <v>273</v>
      </c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</row>
    <row r="120" spans="1:33" hidden="1" x14ac:dyDescent="0.25">
      <c r="A120" s="77">
        <v>19</v>
      </c>
      <c r="B120" s="78" t="s">
        <v>120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7" t="s">
        <v>273</v>
      </c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</row>
    <row r="121" spans="1:33" hidden="1" x14ac:dyDescent="0.25">
      <c r="A121" s="77">
        <v>20</v>
      </c>
      <c r="B121" s="78" t="s">
        <v>121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7" t="s">
        <v>273</v>
      </c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</row>
    <row r="122" spans="1:33" hidden="1" x14ac:dyDescent="0.25">
      <c r="A122" s="77">
        <v>21</v>
      </c>
      <c r="B122" s="78" t="s">
        <v>122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7" t="s">
        <v>273</v>
      </c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hidden="1" x14ac:dyDescent="0.25">
      <c r="A123" s="77">
        <v>22</v>
      </c>
      <c r="B123" s="78" t="s">
        <v>123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7" t="s">
        <v>273</v>
      </c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</row>
    <row r="124" spans="1:33" hidden="1" x14ac:dyDescent="0.25">
      <c r="A124" s="77">
        <v>23</v>
      </c>
      <c r="B124" s="78" t="s">
        <v>124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7" t="s">
        <v>273</v>
      </c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</row>
    <row r="125" spans="1:33" hidden="1" x14ac:dyDescent="0.25">
      <c r="A125" s="77">
        <v>24</v>
      </c>
      <c r="B125" s="78" t="s">
        <v>125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7" t="s">
        <v>273</v>
      </c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</row>
    <row r="126" spans="1:33" hidden="1" x14ac:dyDescent="0.25">
      <c r="A126" s="77">
        <v>25</v>
      </c>
      <c r="B126" s="78" t="s">
        <v>126</v>
      </c>
      <c r="C126" s="79"/>
      <c r="D126" s="79">
        <v>36</v>
      </c>
      <c r="E126" s="79"/>
      <c r="F126" s="79"/>
      <c r="G126" s="79"/>
      <c r="H126" s="79">
        <v>33</v>
      </c>
      <c r="I126" s="79"/>
      <c r="J126" s="79"/>
      <c r="K126" s="79"/>
      <c r="L126" s="79"/>
      <c r="M126" s="79">
        <v>27</v>
      </c>
      <c r="N126" s="79"/>
      <c r="O126" s="77" t="s">
        <v>273</v>
      </c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</row>
    <row r="127" spans="1:33" hidden="1" x14ac:dyDescent="0.25">
      <c r="A127" s="77">
        <v>26</v>
      </c>
      <c r="B127" s="78" t="s">
        <v>127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7" t="s">
        <v>273</v>
      </c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</row>
    <row r="128" spans="1:33" hidden="1" x14ac:dyDescent="0.25">
      <c r="A128" s="77">
        <v>27</v>
      </c>
      <c r="B128" s="78" t="s">
        <v>128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7" t="s">
        <v>273</v>
      </c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</row>
    <row r="129" spans="1:33" hidden="1" x14ac:dyDescent="0.25">
      <c r="A129" s="77">
        <v>28</v>
      </c>
      <c r="B129" s="78" t="s">
        <v>129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7" t="s">
        <v>273</v>
      </c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</row>
    <row r="130" spans="1:33" hidden="1" x14ac:dyDescent="0.25">
      <c r="A130" s="77">
        <v>29</v>
      </c>
      <c r="B130" s="78" t="s">
        <v>130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7" t="s">
        <v>273</v>
      </c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</row>
    <row r="131" spans="1:33" hidden="1" x14ac:dyDescent="0.25">
      <c r="A131" s="77">
        <v>30</v>
      </c>
      <c r="B131" s="78" t="s">
        <v>131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7" t="s">
        <v>273</v>
      </c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</row>
    <row r="132" spans="1:33" hidden="1" x14ac:dyDescent="0.25">
      <c r="A132" s="77">
        <v>31</v>
      </c>
      <c r="B132" s="78" t="s">
        <v>132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7" t="s">
        <v>273</v>
      </c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</row>
    <row r="133" spans="1:33" hidden="1" x14ac:dyDescent="0.25">
      <c r="A133" s="77">
        <v>32</v>
      </c>
      <c r="B133" s="78" t="s">
        <v>133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7" t="s">
        <v>273</v>
      </c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</row>
    <row r="134" spans="1:33" hidden="1" x14ac:dyDescent="0.25">
      <c r="A134" s="77">
        <v>33</v>
      </c>
      <c r="B134" s="78" t="s">
        <v>134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7" t="s">
        <v>273</v>
      </c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1:33" hidden="1" x14ac:dyDescent="0.25">
      <c r="A135" s="77">
        <v>34</v>
      </c>
      <c r="B135" s="78" t="s">
        <v>135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7" t="s">
        <v>273</v>
      </c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1:33" hidden="1" x14ac:dyDescent="0.25">
      <c r="A136" s="77">
        <v>35</v>
      </c>
      <c r="B136" s="78" t="s">
        <v>136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7" t="s">
        <v>273</v>
      </c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1:33" x14ac:dyDescent="0.25">
      <c r="A137" s="77">
        <v>1</v>
      </c>
      <c r="B137" s="78" t="s">
        <v>137</v>
      </c>
      <c r="C137" s="79">
        <v>36</v>
      </c>
      <c r="D137" s="79">
        <v>20</v>
      </c>
      <c r="E137" s="79">
        <v>25</v>
      </c>
      <c r="F137" s="79">
        <v>29</v>
      </c>
      <c r="G137" s="79">
        <v>12</v>
      </c>
      <c r="H137" s="79">
        <v>19</v>
      </c>
      <c r="I137" s="79">
        <v>25</v>
      </c>
      <c r="J137" s="79">
        <v>20</v>
      </c>
      <c r="K137" s="79">
        <v>26</v>
      </c>
      <c r="L137" s="79">
        <v>18</v>
      </c>
      <c r="M137" s="79">
        <v>17</v>
      </c>
      <c r="N137" s="79">
        <v>31</v>
      </c>
      <c r="O137" s="77" t="s">
        <v>274</v>
      </c>
      <c r="P137" s="80">
        <f>SUM(C137:N137)</f>
        <v>278</v>
      </c>
      <c r="Q137" s="80">
        <f>(P137/600)*100</f>
        <v>46.333333333333329</v>
      </c>
      <c r="R137" s="80">
        <f>Q137*0.1</f>
        <v>4.6333333333333329</v>
      </c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</row>
    <row r="138" spans="1:33" x14ac:dyDescent="0.25">
      <c r="A138" s="77">
        <v>2</v>
      </c>
      <c r="B138" s="78" t="s">
        <v>138</v>
      </c>
      <c r="C138" s="79">
        <v>26</v>
      </c>
      <c r="D138" s="79">
        <v>31</v>
      </c>
      <c r="E138" s="79">
        <v>18</v>
      </c>
      <c r="F138" s="79">
        <v>22</v>
      </c>
      <c r="G138" s="79">
        <v>22</v>
      </c>
      <c r="H138" s="79">
        <v>32</v>
      </c>
      <c r="I138" s="79">
        <v>24</v>
      </c>
      <c r="J138" s="79">
        <v>18</v>
      </c>
      <c r="K138" s="79">
        <v>35</v>
      </c>
      <c r="L138" s="79">
        <v>20</v>
      </c>
      <c r="M138" s="79">
        <v>22</v>
      </c>
      <c r="N138" s="79">
        <v>19</v>
      </c>
      <c r="O138" s="77" t="s">
        <v>274</v>
      </c>
      <c r="P138" s="80">
        <f t="shared" ref="P138:P201" si="0">SUM(C138:N138)</f>
        <v>289</v>
      </c>
      <c r="Q138" s="80">
        <f t="shared" ref="Q138:Q201" si="1">(P138/600)*100</f>
        <v>48.166666666666671</v>
      </c>
      <c r="R138" s="80">
        <f t="shared" ref="R138:R201" si="2">Q138*0.1</f>
        <v>4.8166666666666673</v>
      </c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</row>
    <row r="139" spans="1:33" x14ac:dyDescent="0.25">
      <c r="A139" s="77">
        <v>3</v>
      </c>
      <c r="B139" s="78" t="s">
        <v>139</v>
      </c>
      <c r="C139" s="79">
        <v>23</v>
      </c>
      <c r="D139" s="79">
        <v>18</v>
      </c>
      <c r="E139" s="79">
        <v>21</v>
      </c>
      <c r="F139" s="79">
        <v>27</v>
      </c>
      <c r="G139" s="79">
        <v>20</v>
      </c>
      <c r="H139" s="79">
        <v>19</v>
      </c>
      <c r="I139" s="79">
        <v>22</v>
      </c>
      <c r="J139" s="79">
        <v>26</v>
      </c>
      <c r="K139" s="79">
        <v>23</v>
      </c>
      <c r="L139" s="79">
        <v>22</v>
      </c>
      <c r="M139" s="79">
        <v>10</v>
      </c>
      <c r="N139" s="79">
        <v>24</v>
      </c>
      <c r="O139" s="77" t="s">
        <v>274</v>
      </c>
      <c r="P139" s="80">
        <f t="shared" si="0"/>
        <v>255</v>
      </c>
      <c r="Q139" s="80">
        <f t="shared" si="1"/>
        <v>42.5</v>
      </c>
      <c r="R139" s="80">
        <f t="shared" si="2"/>
        <v>4.25</v>
      </c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</row>
    <row r="140" spans="1:33" x14ac:dyDescent="0.25">
      <c r="A140" s="77">
        <v>4</v>
      </c>
      <c r="B140" s="78" t="s">
        <v>140</v>
      </c>
      <c r="C140" s="79">
        <v>21</v>
      </c>
      <c r="D140" s="79">
        <v>15</v>
      </c>
      <c r="E140" s="79">
        <v>20</v>
      </c>
      <c r="F140" s="79">
        <v>16</v>
      </c>
      <c r="G140" s="79">
        <v>12</v>
      </c>
      <c r="H140" s="79">
        <v>17</v>
      </c>
      <c r="I140" s="79">
        <v>25</v>
      </c>
      <c r="J140" s="79">
        <v>14</v>
      </c>
      <c r="K140" s="79">
        <v>15</v>
      </c>
      <c r="L140" s="79">
        <v>16</v>
      </c>
      <c r="M140" s="79">
        <v>21</v>
      </c>
      <c r="N140" s="79">
        <v>30</v>
      </c>
      <c r="O140" s="77" t="s">
        <v>274</v>
      </c>
      <c r="P140" s="80">
        <f t="shared" si="0"/>
        <v>222</v>
      </c>
      <c r="Q140" s="80">
        <f t="shared" si="1"/>
        <v>37</v>
      </c>
      <c r="R140" s="80">
        <f t="shared" si="2"/>
        <v>3.7</v>
      </c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</row>
    <row r="141" spans="1:33" x14ac:dyDescent="0.25">
      <c r="A141" s="77">
        <v>5</v>
      </c>
      <c r="B141" s="78" t="s">
        <v>141</v>
      </c>
      <c r="C141" s="79">
        <v>18</v>
      </c>
      <c r="D141" s="79">
        <v>21</v>
      </c>
      <c r="E141" s="79">
        <v>35</v>
      </c>
      <c r="F141" s="79">
        <v>32</v>
      </c>
      <c r="G141" s="79">
        <v>21</v>
      </c>
      <c r="H141" s="79">
        <v>39</v>
      </c>
      <c r="I141" s="79">
        <v>34</v>
      </c>
      <c r="J141" s="79">
        <v>26</v>
      </c>
      <c r="K141" s="79">
        <v>30</v>
      </c>
      <c r="L141" s="79">
        <v>18</v>
      </c>
      <c r="M141" s="79">
        <v>27</v>
      </c>
      <c r="N141" s="79">
        <v>34</v>
      </c>
      <c r="O141" s="77" t="s">
        <v>274</v>
      </c>
      <c r="P141" s="80">
        <f t="shared" si="0"/>
        <v>335</v>
      </c>
      <c r="Q141" s="80">
        <f t="shared" si="1"/>
        <v>55.833333333333336</v>
      </c>
      <c r="R141" s="80">
        <f t="shared" si="2"/>
        <v>5.5833333333333339</v>
      </c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</row>
    <row r="142" spans="1:33" x14ac:dyDescent="0.25">
      <c r="A142" s="77">
        <v>6</v>
      </c>
      <c r="B142" s="78" t="s">
        <v>142</v>
      </c>
      <c r="C142" s="79"/>
      <c r="D142" s="79">
        <v>49</v>
      </c>
      <c r="E142" s="79"/>
      <c r="F142" s="79">
        <v>17</v>
      </c>
      <c r="G142" s="79">
        <v>40</v>
      </c>
      <c r="H142" s="79"/>
      <c r="I142" s="79">
        <v>44</v>
      </c>
      <c r="J142" s="79">
        <v>40</v>
      </c>
      <c r="K142" s="79">
        <v>24</v>
      </c>
      <c r="L142" s="79">
        <v>41</v>
      </c>
      <c r="M142" s="79">
        <v>40</v>
      </c>
      <c r="N142" s="79">
        <v>37</v>
      </c>
      <c r="O142" s="77" t="s">
        <v>274</v>
      </c>
      <c r="P142" s="80">
        <f t="shared" si="0"/>
        <v>332</v>
      </c>
      <c r="Q142" s="80">
        <f t="shared" si="1"/>
        <v>55.333333333333336</v>
      </c>
      <c r="R142" s="80">
        <f t="shared" si="2"/>
        <v>5.5333333333333341</v>
      </c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</row>
    <row r="143" spans="1:33" x14ac:dyDescent="0.25">
      <c r="A143" s="77">
        <v>7</v>
      </c>
      <c r="B143" s="78" t="s">
        <v>143</v>
      </c>
      <c r="C143" s="79">
        <v>16</v>
      </c>
      <c r="D143" s="79">
        <v>24</v>
      </c>
      <c r="E143" s="79"/>
      <c r="F143" s="79">
        <v>41</v>
      </c>
      <c r="G143" s="79">
        <v>23</v>
      </c>
      <c r="H143" s="79"/>
      <c r="I143" s="79">
        <v>42</v>
      </c>
      <c r="J143" s="79">
        <v>39</v>
      </c>
      <c r="K143" s="79">
        <v>31</v>
      </c>
      <c r="L143" s="79">
        <v>36</v>
      </c>
      <c r="M143" s="79">
        <v>40</v>
      </c>
      <c r="N143" s="79">
        <v>15</v>
      </c>
      <c r="O143" s="77" t="s">
        <v>274</v>
      </c>
      <c r="P143" s="80">
        <f t="shared" si="0"/>
        <v>307</v>
      </c>
      <c r="Q143" s="80">
        <f t="shared" si="1"/>
        <v>51.166666666666671</v>
      </c>
      <c r="R143" s="80">
        <f t="shared" si="2"/>
        <v>5.1166666666666671</v>
      </c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</row>
    <row r="144" spans="1:33" x14ac:dyDescent="0.25">
      <c r="A144" s="77">
        <v>8</v>
      </c>
      <c r="B144" s="78" t="s">
        <v>144</v>
      </c>
      <c r="C144" s="79">
        <v>28</v>
      </c>
      <c r="D144" s="79">
        <v>30</v>
      </c>
      <c r="E144" s="79">
        <v>20</v>
      </c>
      <c r="F144" s="79">
        <v>27</v>
      </c>
      <c r="G144" s="79">
        <v>28</v>
      </c>
      <c r="H144" s="79">
        <v>46</v>
      </c>
      <c r="I144" s="79">
        <v>20</v>
      </c>
      <c r="J144" s="79">
        <v>34</v>
      </c>
      <c r="K144" s="79">
        <v>26</v>
      </c>
      <c r="L144" s="79">
        <v>24</v>
      </c>
      <c r="M144" s="79">
        <v>37</v>
      </c>
      <c r="N144" s="79">
        <v>26</v>
      </c>
      <c r="O144" s="77" t="s">
        <v>274</v>
      </c>
      <c r="P144" s="80">
        <f t="shared" si="0"/>
        <v>346</v>
      </c>
      <c r="Q144" s="80">
        <f t="shared" si="1"/>
        <v>57.666666666666664</v>
      </c>
      <c r="R144" s="80">
        <f t="shared" si="2"/>
        <v>5.7666666666666666</v>
      </c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</row>
    <row r="145" spans="1:33" x14ac:dyDescent="0.25">
      <c r="A145" s="77">
        <v>9</v>
      </c>
      <c r="B145" s="78" t="s">
        <v>145</v>
      </c>
      <c r="C145" s="79">
        <v>27</v>
      </c>
      <c r="D145" s="79">
        <v>12</v>
      </c>
      <c r="E145" s="79">
        <v>15</v>
      </c>
      <c r="F145" s="79">
        <v>11</v>
      </c>
      <c r="G145" s="79"/>
      <c r="H145" s="79">
        <v>19</v>
      </c>
      <c r="I145" s="79">
        <v>9</v>
      </c>
      <c r="J145" s="79">
        <v>17</v>
      </c>
      <c r="K145" s="79">
        <v>4</v>
      </c>
      <c r="L145" s="79">
        <v>9</v>
      </c>
      <c r="M145" s="79">
        <v>13</v>
      </c>
      <c r="N145" s="79"/>
      <c r="O145" s="77" t="s">
        <v>274</v>
      </c>
      <c r="P145" s="80">
        <f t="shared" si="0"/>
        <v>136</v>
      </c>
      <c r="Q145" s="80">
        <f t="shared" si="1"/>
        <v>22.666666666666664</v>
      </c>
      <c r="R145" s="80">
        <f t="shared" si="2"/>
        <v>2.2666666666666666</v>
      </c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</row>
    <row r="146" spans="1:33" x14ac:dyDescent="0.25">
      <c r="A146" s="77">
        <v>10</v>
      </c>
      <c r="B146" s="78" t="s">
        <v>146</v>
      </c>
      <c r="C146" s="79">
        <v>36</v>
      </c>
      <c r="D146" s="79">
        <v>26</v>
      </c>
      <c r="E146" s="79">
        <v>27</v>
      </c>
      <c r="F146" s="79">
        <v>22</v>
      </c>
      <c r="G146" s="79"/>
      <c r="H146" s="79">
        <v>35</v>
      </c>
      <c r="I146" s="79">
        <v>36</v>
      </c>
      <c r="J146" s="79">
        <v>34</v>
      </c>
      <c r="K146" s="79">
        <v>34</v>
      </c>
      <c r="L146" s="79">
        <v>23</v>
      </c>
      <c r="M146" s="79">
        <v>34</v>
      </c>
      <c r="N146" s="79"/>
      <c r="O146" s="77" t="s">
        <v>274</v>
      </c>
      <c r="P146" s="80">
        <f t="shared" si="0"/>
        <v>307</v>
      </c>
      <c r="Q146" s="80">
        <f t="shared" si="1"/>
        <v>51.166666666666671</v>
      </c>
      <c r="R146" s="80">
        <f t="shared" si="2"/>
        <v>5.1166666666666671</v>
      </c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</row>
    <row r="147" spans="1:33" x14ac:dyDescent="0.25">
      <c r="A147" s="77">
        <v>11</v>
      </c>
      <c r="B147" s="78" t="s">
        <v>147</v>
      </c>
      <c r="C147" s="79">
        <v>48</v>
      </c>
      <c r="D147" s="79">
        <v>45</v>
      </c>
      <c r="E147" s="79">
        <v>38</v>
      </c>
      <c r="F147" s="79">
        <v>42</v>
      </c>
      <c r="G147" s="79">
        <v>39</v>
      </c>
      <c r="H147" s="79">
        <v>46</v>
      </c>
      <c r="I147" s="79">
        <v>39</v>
      </c>
      <c r="J147" s="79">
        <v>35</v>
      </c>
      <c r="K147" s="79">
        <v>43</v>
      </c>
      <c r="L147" s="79">
        <v>33</v>
      </c>
      <c r="M147" s="79">
        <v>36</v>
      </c>
      <c r="N147" s="79">
        <v>34</v>
      </c>
      <c r="O147" s="77" t="s">
        <v>274</v>
      </c>
      <c r="P147" s="80">
        <f t="shared" si="0"/>
        <v>478</v>
      </c>
      <c r="Q147" s="80">
        <f t="shared" si="1"/>
        <v>79.666666666666657</v>
      </c>
      <c r="R147" s="80">
        <f t="shared" si="2"/>
        <v>7.9666666666666659</v>
      </c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1:33" x14ac:dyDescent="0.25">
      <c r="A148" s="77">
        <v>12</v>
      </c>
      <c r="B148" s="78" t="s">
        <v>148</v>
      </c>
      <c r="C148" s="79">
        <v>37</v>
      </c>
      <c r="D148" s="79">
        <v>39</v>
      </c>
      <c r="E148" s="79">
        <v>34</v>
      </c>
      <c r="F148" s="79">
        <v>39</v>
      </c>
      <c r="G148" s="79">
        <v>25</v>
      </c>
      <c r="H148" s="79">
        <v>37</v>
      </c>
      <c r="I148" s="79">
        <v>31</v>
      </c>
      <c r="J148" s="79">
        <v>28</v>
      </c>
      <c r="K148" s="79">
        <v>38</v>
      </c>
      <c r="L148" s="79">
        <v>29</v>
      </c>
      <c r="M148" s="79">
        <v>36</v>
      </c>
      <c r="N148" s="79">
        <v>30</v>
      </c>
      <c r="O148" s="77" t="s">
        <v>274</v>
      </c>
      <c r="P148" s="80">
        <f t="shared" si="0"/>
        <v>403</v>
      </c>
      <c r="Q148" s="80">
        <f t="shared" si="1"/>
        <v>67.166666666666657</v>
      </c>
      <c r="R148" s="80">
        <f t="shared" si="2"/>
        <v>6.7166666666666659</v>
      </c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</row>
    <row r="149" spans="1:33" x14ac:dyDescent="0.25">
      <c r="A149" s="77">
        <v>13</v>
      </c>
      <c r="B149" s="78" t="s">
        <v>149</v>
      </c>
      <c r="C149" s="79">
        <v>40</v>
      </c>
      <c r="D149" s="79">
        <v>13</v>
      </c>
      <c r="E149" s="79"/>
      <c r="F149" s="79"/>
      <c r="G149" s="79">
        <v>17</v>
      </c>
      <c r="H149" s="79">
        <v>17</v>
      </c>
      <c r="I149" s="79">
        <v>14</v>
      </c>
      <c r="J149" s="79"/>
      <c r="K149" s="79">
        <v>30</v>
      </c>
      <c r="L149" s="79">
        <v>13</v>
      </c>
      <c r="M149" s="79">
        <v>19</v>
      </c>
      <c r="N149" s="79">
        <v>19</v>
      </c>
      <c r="O149" s="77" t="s">
        <v>274</v>
      </c>
      <c r="P149" s="80">
        <f t="shared" si="0"/>
        <v>182</v>
      </c>
      <c r="Q149" s="80">
        <f t="shared" si="1"/>
        <v>30.333333333333336</v>
      </c>
      <c r="R149" s="80">
        <f t="shared" si="2"/>
        <v>3.0333333333333337</v>
      </c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</row>
    <row r="150" spans="1:33" x14ac:dyDescent="0.25">
      <c r="A150" s="77">
        <v>14</v>
      </c>
      <c r="B150" s="78" t="s">
        <v>150</v>
      </c>
      <c r="C150" s="79">
        <v>19</v>
      </c>
      <c r="D150" s="79">
        <v>24</v>
      </c>
      <c r="E150" s="79">
        <v>26</v>
      </c>
      <c r="F150" s="79">
        <v>20</v>
      </c>
      <c r="G150" s="79">
        <v>20</v>
      </c>
      <c r="H150" s="79">
        <v>24</v>
      </c>
      <c r="I150" s="79">
        <v>23</v>
      </c>
      <c r="J150" s="79">
        <v>22</v>
      </c>
      <c r="K150" s="79">
        <v>21</v>
      </c>
      <c r="L150" s="79">
        <v>24</v>
      </c>
      <c r="M150" s="79">
        <v>23</v>
      </c>
      <c r="N150" s="79">
        <v>22</v>
      </c>
      <c r="O150" s="77" t="s">
        <v>274</v>
      </c>
      <c r="P150" s="80">
        <f t="shared" si="0"/>
        <v>268</v>
      </c>
      <c r="Q150" s="80">
        <f t="shared" si="1"/>
        <v>44.666666666666664</v>
      </c>
      <c r="R150" s="80">
        <f t="shared" si="2"/>
        <v>4.4666666666666668</v>
      </c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</row>
    <row r="151" spans="1:33" x14ac:dyDescent="0.25">
      <c r="A151" s="77">
        <v>15</v>
      </c>
      <c r="B151" s="78" t="s">
        <v>151</v>
      </c>
      <c r="C151" s="79">
        <v>29</v>
      </c>
      <c r="D151" s="79">
        <v>32</v>
      </c>
      <c r="E151" s="79">
        <v>26</v>
      </c>
      <c r="F151" s="79">
        <v>26</v>
      </c>
      <c r="G151" s="79">
        <v>27</v>
      </c>
      <c r="H151" s="79">
        <v>32</v>
      </c>
      <c r="I151" s="79">
        <v>18</v>
      </c>
      <c r="J151" s="79">
        <v>28</v>
      </c>
      <c r="K151" s="79">
        <v>23</v>
      </c>
      <c r="L151" s="79">
        <v>21</v>
      </c>
      <c r="M151" s="79">
        <v>24</v>
      </c>
      <c r="N151" s="79">
        <v>29</v>
      </c>
      <c r="O151" s="77" t="s">
        <v>274</v>
      </c>
      <c r="P151" s="80">
        <f t="shared" si="0"/>
        <v>315</v>
      </c>
      <c r="Q151" s="80">
        <f t="shared" si="1"/>
        <v>52.5</v>
      </c>
      <c r="R151" s="80">
        <f t="shared" si="2"/>
        <v>5.25</v>
      </c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</row>
    <row r="152" spans="1:33" x14ac:dyDescent="0.25">
      <c r="A152" s="77">
        <v>16</v>
      </c>
      <c r="B152" s="78" t="s">
        <v>152</v>
      </c>
      <c r="C152" s="79">
        <v>22</v>
      </c>
      <c r="D152" s="79">
        <v>13</v>
      </c>
      <c r="E152" s="79"/>
      <c r="F152" s="79">
        <v>27</v>
      </c>
      <c r="G152" s="79"/>
      <c r="H152" s="79"/>
      <c r="I152" s="79"/>
      <c r="J152" s="79"/>
      <c r="K152" s="79">
        <v>26</v>
      </c>
      <c r="L152" s="79"/>
      <c r="M152" s="79"/>
      <c r="N152" s="79">
        <v>20</v>
      </c>
      <c r="O152" s="77" t="s">
        <v>274</v>
      </c>
      <c r="P152" s="80">
        <f t="shared" si="0"/>
        <v>108</v>
      </c>
      <c r="Q152" s="80">
        <f t="shared" si="1"/>
        <v>18</v>
      </c>
      <c r="R152" s="80">
        <f t="shared" si="2"/>
        <v>1.8</v>
      </c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</row>
    <row r="153" spans="1:33" x14ac:dyDescent="0.25">
      <c r="A153" s="77">
        <v>17</v>
      </c>
      <c r="B153" s="78" t="s">
        <v>153</v>
      </c>
      <c r="C153" s="79">
        <v>25</v>
      </c>
      <c r="D153" s="79">
        <v>30</v>
      </c>
      <c r="E153" s="79">
        <v>18</v>
      </c>
      <c r="F153" s="79">
        <v>17</v>
      </c>
      <c r="G153" s="79"/>
      <c r="H153" s="79">
        <v>21</v>
      </c>
      <c r="I153" s="79">
        <v>15</v>
      </c>
      <c r="J153" s="79">
        <v>16</v>
      </c>
      <c r="K153" s="79">
        <v>34</v>
      </c>
      <c r="L153" s="79">
        <v>14</v>
      </c>
      <c r="M153" s="79">
        <v>19</v>
      </c>
      <c r="N153" s="79"/>
      <c r="O153" s="77" t="s">
        <v>274</v>
      </c>
      <c r="P153" s="80">
        <f t="shared" si="0"/>
        <v>209</v>
      </c>
      <c r="Q153" s="80">
        <f t="shared" si="1"/>
        <v>34.833333333333336</v>
      </c>
      <c r="R153" s="80">
        <f t="shared" si="2"/>
        <v>3.4833333333333338</v>
      </c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</row>
    <row r="154" spans="1:33" x14ac:dyDescent="0.25">
      <c r="A154" s="77">
        <v>18</v>
      </c>
      <c r="B154" s="78" t="s">
        <v>154</v>
      </c>
      <c r="C154" s="79">
        <v>18</v>
      </c>
      <c r="D154" s="79">
        <v>20</v>
      </c>
      <c r="E154" s="79">
        <v>33</v>
      </c>
      <c r="F154" s="79">
        <v>27</v>
      </c>
      <c r="G154" s="79">
        <v>34</v>
      </c>
      <c r="H154" s="79">
        <v>35</v>
      </c>
      <c r="I154" s="79">
        <v>44</v>
      </c>
      <c r="J154" s="79">
        <v>40</v>
      </c>
      <c r="K154" s="79">
        <v>40</v>
      </c>
      <c r="L154" s="79">
        <v>37</v>
      </c>
      <c r="M154" s="79">
        <v>39</v>
      </c>
      <c r="N154" s="79">
        <v>26</v>
      </c>
      <c r="O154" s="77" t="s">
        <v>274</v>
      </c>
      <c r="P154" s="80">
        <f t="shared" si="0"/>
        <v>393</v>
      </c>
      <c r="Q154" s="80">
        <f t="shared" si="1"/>
        <v>65.5</v>
      </c>
      <c r="R154" s="80">
        <f t="shared" si="2"/>
        <v>6.5500000000000007</v>
      </c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</row>
    <row r="155" spans="1:33" x14ac:dyDescent="0.25">
      <c r="A155" s="77">
        <v>19</v>
      </c>
      <c r="B155" s="78" t="s">
        <v>155</v>
      </c>
      <c r="C155" s="79">
        <v>31</v>
      </c>
      <c r="D155" s="79">
        <v>35</v>
      </c>
      <c r="E155" s="79">
        <v>16</v>
      </c>
      <c r="F155" s="79">
        <v>30</v>
      </c>
      <c r="G155" s="79">
        <v>26</v>
      </c>
      <c r="H155" s="79">
        <v>29</v>
      </c>
      <c r="I155" s="79">
        <v>26</v>
      </c>
      <c r="J155" s="79">
        <v>16</v>
      </c>
      <c r="K155" s="79">
        <v>34</v>
      </c>
      <c r="L155" s="79">
        <v>22</v>
      </c>
      <c r="M155" s="79">
        <v>25</v>
      </c>
      <c r="N155" s="79">
        <v>25</v>
      </c>
      <c r="O155" s="77" t="s">
        <v>274</v>
      </c>
      <c r="P155" s="80">
        <f t="shared" si="0"/>
        <v>315</v>
      </c>
      <c r="Q155" s="80">
        <f t="shared" si="1"/>
        <v>52.5</v>
      </c>
      <c r="R155" s="80">
        <f t="shared" si="2"/>
        <v>5.25</v>
      </c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</row>
    <row r="156" spans="1:33" x14ac:dyDescent="0.25">
      <c r="A156" s="77">
        <v>20</v>
      </c>
      <c r="B156" s="78" t="s">
        <v>156</v>
      </c>
      <c r="C156" s="79">
        <v>44</v>
      </c>
      <c r="D156" s="79">
        <v>33</v>
      </c>
      <c r="E156" s="79">
        <v>31</v>
      </c>
      <c r="F156" s="79">
        <v>29</v>
      </c>
      <c r="G156" s="79">
        <v>35</v>
      </c>
      <c r="H156" s="79">
        <v>19</v>
      </c>
      <c r="I156" s="79"/>
      <c r="J156" s="79"/>
      <c r="K156" s="79"/>
      <c r="L156" s="79"/>
      <c r="M156" s="79">
        <v>17</v>
      </c>
      <c r="N156" s="79"/>
      <c r="O156" s="77" t="s">
        <v>274</v>
      </c>
      <c r="P156" s="80">
        <f t="shared" si="0"/>
        <v>208</v>
      </c>
      <c r="Q156" s="80">
        <f t="shared" si="1"/>
        <v>34.666666666666671</v>
      </c>
      <c r="R156" s="80">
        <f t="shared" si="2"/>
        <v>3.4666666666666672</v>
      </c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</row>
    <row r="157" spans="1:33" x14ac:dyDescent="0.25">
      <c r="A157" s="77">
        <v>21</v>
      </c>
      <c r="B157" s="78" t="s">
        <v>157</v>
      </c>
      <c r="C157" s="79">
        <v>38</v>
      </c>
      <c r="D157" s="79"/>
      <c r="E157" s="79"/>
      <c r="F157" s="79"/>
      <c r="G157" s="79">
        <v>27</v>
      </c>
      <c r="H157" s="79">
        <v>43</v>
      </c>
      <c r="I157" s="79">
        <v>29</v>
      </c>
      <c r="J157" s="79">
        <v>42</v>
      </c>
      <c r="K157" s="79">
        <v>29</v>
      </c>
      <c r="L157" s="79">
        <v>33</v>
      </c>
      <c r="M157" s="79">
        <v>38</v>
      </c>
      <c r="N157" s="79">
        <v>30</v>
      </c>
      <c r="O157" s="77" t="s">
        <v>274</v>
      </c>
      <c r="P157" s="80">
        <f t="shared" si="0"/>
        <v>309</v>
      </c>
      <c r="Q157" s="80">
        <f t="shared" si="1"/>
        <v>51.5</v>
      </c>
      <c r="R157" s="80">
        <f t="shared" si="2"/>
        <v>5.15</v>
      </c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</row>
    <row r="158" spans="1:33" x14ac:dyDescent="0.25">
      <c r="A158" s="77">
        <v>22</v>
      </c>
      <c r="B158" s="78" t="s">
        <v>158</v>
      </c>
      <c r="C158" s="79">
        <v>24</v>
      </c>
      <c r="D158" s="79">
        <v>28</v>
      </c>
      <c r="E158" s="79">
        <v>21</v>
      </c>
      <c r="F158" s="79">
        <v>27</v>
      </c>
      <c r="G158" s="79">
        <v>33</v>
      </c>
      <c r="H158" s="79">
        <v>26</v>
      </c>
      <c r="I158" s="79">
        <v>26</v>
      </c>
      <c r="J158" s="79">
        <v>24</v>
      </c>
      <c r="K158" s="79">
        <v>29</v>
      </c>
      <c r="L158" s="79">
        <v>27</v>
      </c>
      <c r="M158" s="79">
        <v>34</v>
      </c>
      <c r="N158" s="79">
        <v>20</v>
      </c>
      <c r="O158" s="77" t="s">
        <v>274</v>
      </c>
      <c r="P158" s="80">
        <f t="shared" si="0"/>
        <v>319</v>
      </c>
      <c r="Q158" s="80">
        <f t="shared" si="1"/>
        <v>53.166666666666664</v>
      </c>
      <c r="R158" s="80">
        <f t="shared" si="2"/>
        <v>5.3166666666666664</v>
      </c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1:33" x14ac:dyDescent="0.25">
      <c r="A159" s="77">
        <v>23</v>
      </c>
      <c r="B159" s="78" t="s">
        <v>159</v>
      </c>
      <c r="C159" s="79">
        <v>29</v>
      </c>
      <c r="D159" s="79">
        <v>25</v>
      </c>
      <c r="E159" s="79">
        <v>28</v>
      </c>
      <c r="F159" s="79">
        <v>22</v>
      </c>
      <c r="G159" s="79">
        <v>20</v>
      </c>
      <c r="H159" s="79">
        <v>29</v>
      </c>
      <c r="I159" s="79">
        <v>19</v>
      </c>
      <c r="J159" s="79"/>
      <c r="K159" s="79"/>
      <c r="L159" s="79"/>
      <c r="M159" s="79">
        <v>23</v>
      </c>
      <c r="N159" s="79">
        <v>21</v>
      </c>
      <c r="O159" s="77" t="s">
        <v>274</v>
      </c>
      <c r="P159" s="80">
        <f t="shared" si="0"/>
        <v>216</v>
      </c>
      <c r="Q159" s="80">
        <f t="shared" si="1"/>
        <v>36</v>
      </c>
      <c r="R159" s="80">
        <f t="shared" si="2"/>
        <v>3.6</v>
      </c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</row>
    <row r="160" spans="1:33" x14ac:dyDescent="0.25">
      <c r="A160" s="77">
        <v>24</v>
      </c>
      <c r="B160" s="78" t="s">
        <v>160</v>
      </c>
      <c r="C160" s="79">
        <v>13</v>
      </c>
      <c r="D160" s="79"/>
      <c r="E160" s="79"/>
      <c r="F160" s="79"/>
      <c r="G160" s="79">
        <v>32</v>
      </c>
      <c r="H160" s="79"/>
      <c r="I160" s="79">
        <v>29</v>
      </c>
      <c r="J160" s="79">
        <v>40</v>
      </c>
      <c r="K160" s="79"/>
      <c r="L160" s="79">
        <v>32</v>
      </c>
      <c r="M160" s="79"/>
      <c r="N160" s="79">
        <v>35</v>
      </c>
      <c r="O160" s="77" t="s">
        <v>274</v>
      </c>
      <c r="P160" s="80">
        <f t="shared" si="0"/>
        <v>181</v>
      </c>
      <c r="Q160" s="80">
        <f t="shared" si="1"/>
        <v>30.166666666666668</v>
      </c>
      <c r="R160" s="80">
        <f t="shared" si="2"/>
        <v>3.0166666666666671</v>
      </c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</row>
    <row r="161" spans="1:33" x14ac:dyDescent="0.25">
      <c r="A161" s="77">
        <v>25</v>
      </c>
      <c r="B161" s="78" t="s">
        <v>161</v>
      </c>
      <c r="C161" s="79"/>
      <c r="D161" s="79"/>
      <c r="E161" s="79">
        <v>21</v>
      </c>
      <c r="F161" s="79">
        <v>14</v>
      </c>
      <c r="G161" s="79">
        <v>12</v>
      </c>
      <c r="H161" s="79">
        <v>18</v>
      </c>
      <c r="I161" s="79">
        <v>18</v>
      </c>
      <c r="J161" s="79">
        <v>16</v>
      </c>
      <c r="K161" s="79">
        <v>14</v>
      </c>
      <c r="L161" s="79">
        <v>12</v>
      </c>
      <c r="M161" s="79">
        <v>9</v>
      </c>
      <c r="N161" s="79">
        <v>20</v>
      </c>
      <c r="O161" s="77" t="s">
        <v>274</v>
      </c>
      <c r="P161" s="80">
        <f t="shared" si="0"/>
        <v>154</v>
      </c>
      <c r="Q161" s="80">
        <f t="shared" si="1"/>
        <v>25.666666666666664</v>
      </c>
      <c r="R161" s="80">
        <f t="shared" si="2"/>
        <v>2.5666666666666664</v>
      </c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</row>
    <row r="162" spans="1:33" x14ac:dyDescent="0.25">
      <c r="A162" s="77">
        <v>26</v>
      </c>
      <c r="B162" s="78" t="s">
        <v>162</v>
      </c>
      <c r="C162" s="79">
        <v>34</v>
      </c>
      <c r="D162" s="79">
        <v>35</v>
      </c>
      <c r="E162" s="79">
        <v>36</v>
      </c>
      <c r="F162" s="79">
        <v>36</v>
      </c>
      <c r="G162" s="79">
        <v>22</v>
      </c>
      <c r="H162" s="79">
        <v>34</v>
      </c>
      <c r="I162" s="79">
        <v>39</v>
      </c>
      <c r="J162" s="79">
        <v>32</v>
      </c>
      <c r="K162" s="79"/>
      <c r="L162" s="79">
        <v>28</v>
      </c>
      <c r="M162" s="79">
        <v>24</v>
      </c>
      <c r="N162" s="79">
        <v>30</v>
      </c>
      <c r="O162" s="77" t="s">
        <v>274</v>
      </c>
      <c r="P162" s="80">
        <f t="shared" si="0"/>
        <v>350</v>
      </c>
      <c r="Q162" s="80">
        <f t="shared" si="1"/>
        <v>58.333333333333336</v>
      </c>
      <c r="R162" s="80">
        <f t="shared" si="2"/>
        <v>5.8333333333333339</v>
      </c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</row>
    <row r="163" spans="1:33" x14ac:dyDescent="0.25">
      <c r="A163" s="77">
        <v>27</v>
      </c>
      <c r="B163" s="78" t="s">
        <v>163</v>
      </c>
      <c r="C163" s="79">
        <v>40</v>
      </c>
      <c r="D163" s="79">
        <v>35</v>
      </c>
      <c r="E163" s="79">
        <v>37</v>
      </c>
      <c r="F163" s="79"/>
      <c r="G163" s="79">
        <v>30</v>
      </c>
      <c r="H163" s="79">
        <v>45</v>
      </c>
      <c r="I163" s="79"/>
      <c r="J163" s="79">
        <v>43</v>
      </c>
      <c r="K163" s="79"/>
      <c r="L163" s="79">
        <v>41</v>
      </c>
      <c r="M163" s="79">
        <v>37</v>
      </c>
      <c r="N163" s="79">
        <v>19</v>
      </c>
      <c r="O163" s="77" t="s">
        <v>274</v>
      </c>
      <c r="P163" s="80">
        <f t="shared" si="0"/>
        <v>327</v>
      </c>
      <c r="Q163" s="80">
        <f t="shared" si="1"/>
        <v>54.500000000000007</v>
      </c>
      <c r="R163" s="80">
        <f t="shared" si="2"/>
        <v>5.4500000000000011</v>
      </c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</row>
    <row r="164" spans="1:33" x14ac:dyDescent="0.25">
      <c r="A164" s="77">
        <v>28</v>
      </c>
      <c r="B164" s="78" t="s">
        <v>164</v>
      </c>
      <c r="C164" s="79"/>
      <c r="D164" s="79">
        <v>25</v>
      </c>
      <c r="E164" s="79">
        <v>16</v>
      </c>
      <c r="F164" s="79"/>
      <c r="G164" s="79"/>
      <c r="H164" s="79">
        <v>24</v>
      </c>
      <c r="I164" s="79">
        <v>45</v>
      </c>
      <c r="J164" s="79"/>
      <c r="K164" s="79">
        <v>24</v>
      </c>
      <c r="L164" s="79"/>
      <c r="M164" s="79">
        <v>16</v>
      </c>
      <c r="N164" s="79"/>
      <c r="O164" s="77" t="s">
        <v>274</v>
      </c>
      <c r="P164" s="80">
        <f t="shared" si="0"/>
        <v>150</v>
      </c>
      <c r="Q164" s="80">
        <f t="shared" si="1"/>
        <v>25</v>
      </c>
      <c r="R164" s="80">
        <f t="shared" si="2"/>
        <v>2.5</v>
      </c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</row>
    <row r="165" spans="1:33" x14ac:dyDescent="0.25">
      <c r="A165" s="77">
        <v>29</v>
      </c>
      <c r="B165" s="78" t="s">
        <v>165</v>
      </c>
      <c r="C165" s="79">
        <v>40</v>
      </c>
      <c r="D165" s="79">
        <v>17</v>
      </c>
      <c r="E165" s="79">
        <v>15</v>
      </c>
      <c r="F165" s="79"/>
      <c r="G165" s="79">
        <v>10</v>
      </c>
      <c r="H165" s="79">
        <v>20</v>
      </c>
      <c r="I165" s="79">
        <v>19</v>
      </c>
      <c r="J165" s="79">
        <v>15</v>
      </c>
      <c r="K165" s="79">
        <v>23</v>
      </c>
      <c r="L165" s="79">
        <v>20</v>
      </c>
      <c r="M165" s="79">
        <v>15</v>
      </c>
      <c r="N165" s="79">
        <v>28</v>
      </c>
      <c r="O165" s="77" t="s">
        <v>274</v>
      </c>
      <c r="P165" s="80">
        <f t="shared" si="0"/>
        <v>222</v>
      </c>
      <c r="Q165" s="80">
        <f t="shared" si="1"/>
        <v>37</v>
      </c>
      <c r="R165" s="80">
        <f t="shared" si="2"/>
        <v>3.7</v>
      </c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</row>
    <row r="166" spans="1:33" x14ac:dyDescent="0.25">
      <c r="A166" s="77">
        <v>30</v>
      </c>
      <c r="B166" s="78" t="s">
        <v>166</v>
      </c>
      <c r="C166" s="79">
        <v>49</v>
      </c>
      <c r="D166" s="79">
        <v>49</v>
      </c>
      <c r="E166" s="79">
        <v>43</v>
      </c>
      <c r="F166" s="79"/>
      <c r="G166" s="79">
        <v>44</v>
      </c>
      <c r="H166" s="79">
        <v>45</v>
      </c>
      <c r="I166" s="79">
        <v>13</v>
      </c>
      <c r="J166" s="79">
        <v>41</v>
      </c>
      <c r="K166" s="79"/>
      <c r="L166" s="79">
        <v>34</v>
      </c>
      <c r="M166" s="79">
        <v>34</v>
      </c>
      <c r="N166" s="79">
        <v>28</v>
      </c>
      <c r="O166" s="77" t="s">
        <v>274</v>
      </c>
      <c r="P166" s="80">
        <f t="shared" si="0"/>
        <v>380</v>
      </c>
      <c r="Q166" s="80">
        <f t="shared" si="1"/>
        <v>63.333333333333329</v>
      </c>
      <c r="R166" s="80">
        <f t="shared" si="2"/>
        <v>6.333333333333333</v>
      </c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</row>
    <row r="167" spans="1:33" x14ac:dyDescent="0.25">
      <c r="A167" s="77">
        <v>31</v>
      </c>
      <c r="B167" s="78" t="s">
        <v>167</v>
      </c>
      <c r="C167" s="79">
        <v>32</v>
      </c>
      <c r="D167" s="79">
        <v>29</v>
      </c>
      <c r="E167" s="79">
        <v>22</v>
      </c>
      <c r="F167" s="79">
        <v>19</v>
      </c>
      <c r="G167" s="79">
        <v>22</v>
      </c>
      <c r="H167" s="79">
        <v>22</v>
      </c>
      <c r="I167" s="79">
        <v>20</v>
      </c>
      <c r="J167" s="79">
        <v>26</v>
      </c>
      <c r="K167" s="79">
        <v>27</v>
      </c>
      <c r="L167" s="79">
        <v>18</v>
      </c>
      <c r="M167" s="79">
        <v>26</v>
      </c>
      <c r="N167" s="79">
        <v>24</v>
      </c>
      <c r="O167" s="77" t="s">
        <v>274</v>
      </c>
      <c r="P167" s="80">
        <f t="shared" si="0"/>
        <v>287</v>
      </c>
      <c r="Q167" s="80">
        <f t="shared" si="1"/>
        <v>47.833333333333336</v>
      </c>
      <c r="R167" s="80">
        <f t="shared" si="2"/>
        <v>4.7833333333333341</v>
      </c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</row>
    <row r="168" spans="1:33" x14ac:dyDescent="0.25">
      <c r="A168" s="77">
        <v>32</v>
      </c>
      <c r="B168" s="78" t="s">
        <v>168</v>
      </c>
      <c r="C168" s="79">
        <v>18</v>
      </c>
      <c r="D168" s="79">
        <v>10</v>
      </c>
      <c r="E168" s="79">
        <v>13</v>
      </c>
      <c r="F168" s="79">
        <v>17</v>
      </c>
      <c r="G168" s="79">
        <v>21</v>
      </c>
      <c r="H168" s="79">
        <v>13</v>
      </c>
      <c r="I168" s="79">
        <v>20</v>
      </c>
      <c r="J168" s="79">
        <v>23</v>
      </c>
      <c r="K168" s="79">
        <v>23</v>
      </c>
      <c r="L168" s="79">
        <v>37</v>
      </c>
      <c r="M168" s="79">
        <v>11</v>
      </c>
      <c r="N168" s="79">
        <v>29</v>
      </c>
      <c r="O168" s="77" t="s">
        <v>274</v>
      </c>
      <c r="P168" s="80">
        <f t="shared" si="0"/>
        <v>235</v>
      </c>
      <c r="Q168" s="80">
        <f t="shared" si="1"/>
        <v>39.166666666666664</v>
      </c>
      <c r="R168" s="80">
        <f t="shared" si="2"/>
        <v>3.9166666666666665</v>
      </c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</row>
    <row r="169" spans="1:33" x14ac:dyDescent="0.25">
      <c r="A169" s="77">
        <v>33</v>
      </c>
      <c r="B169" s="78" t="s">
        <v>169</v>
      </c>
      <c r="C169" s="79">
        <v>49</v>
      </c>
      <c r="D169" s="79"/>
      <c r="E169" s="79">
        <v>43</v>
      </c>
      <c r="F169" s="79">
        <v>48</v>
      </c>
      <c r="G169" s="79"/>
      <c r="H169" s="79">
        <v>46</v>
      </c>
      <c r="I169" s="79">
        <v>45</v>
      </c>
      <c r="J169" s="79">
        <v>42</v>
      </c>
      <c r="K169" s="79">
        <v>46</v>
      </c>
      <c r="L169" s="79">
        <v>40</v>
      </c>
      <c r="M169" s="79">
        <v>38</v>
      </c>
      <c r="N169" s="79"/>
      <c r="O169" s="77" t="s">
        <v>274</v>
      </c>
      <c r="P169" s="80">
        <f t="shared" si="0"/>
        <v>397</v>
      </c>
      <c r="Q169" s="80">
        <f t="shared" si="1"/>
        <v>66.166666666666657</v>
      </c>
      <c r="R169" s="80">
        <f t="shared" si="2"/>
        <v>6.6166666666666663</v>
      </c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</row>
    <row r="170" spans="1:33" x14ac:dyDescent="0.25">
      <c r="A170" s="77">
        <v>34</v>
      </c>
      <c r="B170" s="78" t="s">
        <v>170</v>
      </c>
      <c r="C170" s="79"/>
      <c r="D170" s="79">
        <v>16</v>
      </c>
      <c r="E170" s="79">
        <v>20</v>
      </c>
      <c r="F170" s="79">
        <v>23</v>
      </c>
      <c r="G170" s="79">
        <v>18</v>
      </c>
      <c r="H170" s="79">
        <v>25</v>
      </c>
      <c r="I170" s="79">
        <v>17</v>
      </c>
      <c r="J170" s="79">
        <v>25</v>
      </c>
      <c r="K170" s="79">
        <v>25</v>
      </c>
      <c r="L170" s="79">
        <v>16</v>
      </c>
      <c r="M170" s="79">
        <v>18</v>
      </c>
      <c r="N170" s="79">
        <v>19</v>
      </c>
      <c r="O170" s="77" t="s">
        <v>274</v>
      </c>
      <c r="P170" s="80">
        <f t="shared" si="0"/>
        <v>222</v>
      </c>
      <c r="Q170" s="80">
        <f t="shared" si="1"/>
        <v>37</v>
      </c>
      <c r="R170" s="80">
        <f t="shared" si="2"/>
        <v>3.7</v>
      </c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1:33" x14ac:dyDescent="0.25">
      <c r="A171" s="77">
        <v>35</v>
      </c>
      <c r="B171" s="78" t="s">
        <v>171</v>
      </c>
      <c r="C171" s="79">
        <v>47</v>
      </c>
      <c r="D171" s="79">
        <v>27</v>
      </c>
      <c r="E171" s="79"/>
      <c r="F171" s="79"/>
      <c r="G171" s="79"/>
      <c r="H171" s="79"/>
      <c r="I171" s="79">
        <v>25</v>
      </c>
      <c r="J171" s="79"/>
      <c r="K171" s="79">
        <v>36</v>
      </c>
      <c r="L171" s="79"/>
      <c r="M171" s="79">
        <v>34</v>
      </c>
      <c r="N171" s="79"/>
      <c r="O171" s="77" t="s">
        <v>275</v>
      </c>
      <c r="P171" s="80">
        <f t="shared" si="0"/>
        <v>169</v>
      </c>
      <c r="Q171" s="80">
        <f t="shared" si="1"/>
        <v>28.166666666666668</v>
      </c>
      <c r="R171" s="80">
        <f t="shared" si="2"/>
        <v>2.8166666666666669</v>
      </c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1:33" x14ac:dyDescent="0.25">
      <c r="A172" s="77">
        <v>36</v>
      </c>
      <c r="B172" s="78" t="s">
        <v>172</v>
      </c>
      <c r="C172" s="79">
        <v>19</v>
      </c>
      <c r="D172" s="79">
        <v>36</v>
      </c>
      <c r="E172" s="79">
        <v>23</v>
      </c>
      <c r="F172" s="79">
        <v>36</v>
      </c>
      <c r="G172" s="79">
        <v>20</v>
      </c>
      <c r="H172" s="79">
        <v>35</v>
      </c>
      <c r="I172" s="79">
        <v>15</v>
      </c>
      <c r="J172" s="79">
        <v>36</v>
      </c>
      <c r="K172" s="79"/>
      <c r="L172" s="79">
        <v>31</v>
      </c>
      <c r="M172" s="79">
        <v>35</v>
      </c>
      <c r="N172" s="79">
        <v>27</v>
      </c>
      <c r="O172" s="77" t="s">
        <v>275</v>
      </c>
      <c r="P172" s="80">
        <f t="shared" si="0"/>
        <v>313</v>
      </c>
      <c r="Q172" s="80">
        <f t="shared" si="1"/>
        <v>52.166666666666664</v>
      </c>
      <c r="R172" s="80">
        <f t="shared" si="2"/>
        <v>5.2166666666666668</v>
      </c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1:33" x14ac:dyDescent="0.25">
      <c r="A173" s="77">
        <v>37</v>
      </c>
      <c r="B173" s="78" t="s">
        <v>173</v>
      </c>
      <c r="C173" s="79">
        <v>39</v>
      </c>
      <c r="D173" s="79">
        <v>45</v>
      </c>
      <c r="E173" s="79">
        <v>35</v>
      </c>
      <c r="F173" s="79">
        <v>42</v>
      </c>
      <c r="G173" s="79">
        <v>37</v>
      </c>
      <c r="H173" s="79">
        <v>39</v>
      </c>
      <c r="I173" s="79">
        <v>39</v>
      </c>
      <c r="J173" s="79">
        <v>38</v>
      </c>
      <c r="K173" s="79">
        <v>40</v>
      </c>
      <c r="L173" s="79">
        <v>35</v>
      </c>
      <c r="M173" s="79">
        <v>34</v>
      </c>
      <c r="N173" s="79">
        <v>39</v>
      </c>
      <c r="O173" s="77" t="s">
        <v>275</v>
      </c>
      <c r="P173" s="80">
        <f t="shared" si="0"/>
        <v>462</v>
      </c>
      <c r="Q173" s="80">
        <f t="shared" si="1"/>
        <v>77</v>
      </c>
      <c r="R173" s="80">
        <f t="shared" si="2"/>
        <v>7.7</v>
      </c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1:33" x14ac:dyDescent="0.25">
      <c r="A174" s="77">
        <v>38</v>
      </c>
      <c r="B174" s="78" t="s">
        <v>174</v>
      </c>
      <c r="C174" s="79">
        <v>30</v>
      </c>
      <c r="D174" s="79">
        <v>33</v>
      </c>
      <c r="E174" s="79">
        <v>30</v>
      </c>
      <c r="F174" s="79">
        <v>13</v>
      </c>
      <c r="G174" s="79">
        <v>27</v>
      </c>
      <c r="H174" s="79">
        <v>30</v>
      </c>
      <c r="I174" s="79">
        <v>29</v>
      </c>
      <c r="J174" s="79">
        <v>24</v>
      </c>
      <c r="K174" s="79">
        <v>27</v>
      </c>
      <c r="L174" s="79">
        <v>26</v>
      </c>
      <c r="M174" s="79">
        <v>30</v>
      </c>
      <c r="N174" s="79">
        <v>28</v>
      </c>
      <c r="O174" s="77" t="s">
        <v>275</v>
      </c>
      <c r="P174" s="80">
        <f t="shared" si="0"/>
        <v>327</v>
      </c>
      <c r="Q174" s="80">
        <f t="shared" si="1"/>
        <v>54.500000000000007</v>
      </c>
      <c r="R174" s="80">
        <f t="shared" si="2"/>
        <v>5.4500000000000011</v>
      </c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1:33" x14ac:dyDescent="0.25">
      <c r="A175" s="77">
        <v>39</v>
      </c>
      <c r="B175" s="78" t="s">
        <v>175</v>
      </c>
      <c r="C175" s="79">
        <v>44</v>
      </c>
      <c r="D175" s="79">
        <v>39</v>
      </c>
      <c r="E175" s="79">
        <v>38</v>
      </c>
      <c r="F175" s="79">
        <v>42</v>
      </c>
      <c r="G175" s="79">
        <v>35</v>
      </c>
      <c r="H175" s="79">
        <v>43</v>
      </c>
      <c r="I175" s="79">
        <v>40</v>
      </c>
      <c r="J175" s="79">
        <v>40</v>
      </c>
      <c r="K175" s="79">
        <v>40</v>
      </c>
      <c r="L175" s="79">
        <v>32</v>
      </c>
      <c r="M175" s="79">
        <v>33</v>
      </c>
      <c r="N175" s="79">
        <v>35</v>
      </c>
      <c r="O175" s="77" t="s">
        <v>275</v>
      </c>
      <c r="P175" s="80">
        <f t="shared" si="0"/>
        <v>461</v>
      </c>
      <c r="Q175" s="80">
        <f t="shared" si="1"/>
        <v>76.833333333333329</v>
      </c>
      <c r="R175" s="80">
        <f t="shared" si="2"/>
        <v>7.6833333333333336</v>
      </c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</row>
    <row r="176" spans="1:33" x14ac:dyDescent="0.25">
      <c r="A176" s="77">
        <v>40</v>
      </c>
      <c r="B176" s="78" t="s">
        <v>176</v>
      </c>
      <c r="C176" s="79">
        <v>22</v>
      </c>
      <c r="D176" s="79">
        <v>23</v>
      </c>
      <c r="E176" s="79">
        <v>14</v>
      </c>
      <c r="F176" s="79">
        <v>25</v>
      </c>
      <c r="G176" s="79">
        <v>18</v>
      </c>
      <c r="H176" s="79">
        <v>18</v>
      </c>
      <c r="I176" s="79">
        <v>25</v>
      </c>
      <c r="J176" s="79">
        <v>14</v>
      </c>
      <c r="K176" s="79">
        <v>24</v>
      </c>
      <c r="L176" s="79">
        <v>21</v>
      </c>
      <c r="M176" s="79">
        <v>25</v>
      </c>
      <c r="N176" s="79">
        <v>23</v>
      </c>
      <c r="O176" s="77" t="s">
        <v>275</v>
      </c>
      <c r="P176" s="80">
        <f t="shared" si="0"/>
        <v>252</v>
      </c>
      <c r="Q176" s="80">
        <f t="shared" si="1"/>
        <v>42</v>
      </c>
      <c r="R176" s="80">
        <f t="shared" si="2"/>
        <v>4.2</v>
      </c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</row>
    <row r="177" spans="1:33" x14ac:dyDescent="0.25">
      <c r="A177" s="77">
        <v>41</v>
      </c>
      <c r="B177" s="78" t="s">
        <v>177</v>
      </c>
      <c r="C177" s="79"/>
      <c r="D177" s="79"/>
      <c r="E177" s="79"/>
      <c r="F177" s="79"/>
      <c r="G177" s="79"/>
      <c r="H177" s="79">
        <v>19</v>
      </c>
      <c r="I177" s="79">
        <v>15</v>
      </c>
      <c r="J177" s="79"/>
      <c r="K177" s="79"/>
      <c r="L177" s="79">
        <v>19</v>
      </c>
      <c r="M177" s="79"/>
      <c r="N177" s="79"/>
      <c r="O177" s="77" t="s">
        <v>275</v>
      </c>
      <c r="P177" s="80">
        <f t="shared" si="0"/>
        <v>53</v>
      </c>
      <c r="Q177" s="80">
        <f t="shared" si="1"/>
        <v>8.8333333333333339</v>
      </c>
      <c r="R177" s="80">
        <f t="shared" si="2"/>
        <v>0.88333333333333341</v>
      </c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</row>
    <row r="178" spans="1:33" x14ac:dyDescent="0.25">
      <c r="A178" s="77">
        <v>1</v>
      </c>
      <c r="B178" s="78" t="s">
        <v>178</v>
      </c>
      <c r="C178" s="79">
        <v>21</v>
      </c>
      <c r="D178" s="79"/>
      <c r="E178" s="79"/>
      <c r="F178" s="79">
        <v>22</v>
      </c>
      <c r="G178" s="79">
        <v>26</v>
      </c>
      <c r="H178" s="79">
        <v>21</v>
      </c>
      <c r="I178" s="79">
        <v>17</v>
      </c>
      <c r="J178" s="79">
        <v>20</v>
      </c>
      <c r="K178" s="79"/>
      <c r="L178" s="79">
        <v>19</v>
      </c>
      <c r="M178" s="79"/>
      <c r="N178" s="79">
        <v>23</v>
      </c>
      <c r="O178" s="68" t="s">
        <v>276</v>
      </c>
      <c r="P178" s="80">
        <f t="shared" si="0"/>
        <v>169</v>
      </c>
      <c r="Q178" s="80">
        <f t="shared" si="1"/>
        <v>28.166666666666668</v>
      </c>
      <c r="R178" s="80">
        <f t="shared" si="2"/>
        <v>2.8166666666666669</v>
      </c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</row>
    <row r="179" spans="1:33" x14ac:dyDescent="0.25">
      <c r="A179" s="77">
        <v>2</v>
      </c>
      <c r="B179" s="78" t="s">
        <v>179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68" t="s">
        <v>276</v>
      </c>
      <c r="P179" s="80">
        <f t="shared" si="0"/>
        <v>0</v>
      </c>
      <c r="Q179" s="80">
        <f t="shared" si="1"/>
        <v>0</v>
      </c>
      <c r="R179" s="80">
        <f t="shared" si="2"/>
        <v>0</v>
      </c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</row>
    <row r="180" spans="1:33" x14ac:dyDescent="0.25">
      <c r="A180" s="77">
        <v>3</v>
      </c>
      <c r="B180" s="78" t="s">
        <v>180</v>
      </c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68" t="s">
        <v>276</v>
      </c>
      <c r="P180" s="80">
        <f t="shared" si="0"/>
        <v>0</v>
      </c>
      <c r="Q180" s="80">
        <f t="shared" si="1"/>
        <v>0</v>
      </c>
      <c r="R180" s="80">
        <f t="shared" si="2"/>
        <v>0</v>
      </c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</row>
    <row r="181" spans="1:33" x14ac:dyDescent="0.25">
      <c r="A181" s="77">
        <v>4</v>
      </c>
      <c r="B181" s="78" t="s">
        <v>181</v>
      </c>
      <c r="C181" s="79"/>
      <c r="D181" s="79">
        <v>28</v>
      </c>
      <c r="E181" s="79"/>
      <c r="F181" s="79">
        <v>18</v>
      </c>
      <c r="G181" s="79"/>
      <c r="H181" s="79"/>
      <c r="I181" s="79"/>
      <c r="J181" s="79">
        <v>21</v>
      </c>
      <c r="K181" s="79"/>
      <c r="L181" s="79"/>
      <c r="M181" s="79"/>
      <c r="N181" s="79">
        <v>23</v>
      </c>
      <c r="O181" s="68" t="s">
        <v>276</v>
      </c>
      <c r="P181" s="80">
        <f t="shared" si="0"/>
        <v>90</v>
      </c>
      <c r="Q181" s="80">
        <f t="shared" si="1"/>
        <v>15</v>
      </c>
      <c r="R181" s="80">
        <f t="shared" si="2"/>
        <v>1.5</v>
      </c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</row>
    <row r="182" spans="1:33" x14ac:dyDescent="0.25">
      <c r="A182" s="77">
        <v>5</v>
      </c>
      <c r="B182" s="78" t="s">
        <v>182</v>
      </c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68" t="s">
        <v>276</v>
      </c>
      <c r="P182" s="80">
        <f t="shared" si="0"/>
        <v>0</v>
      </c>
      <c r="Q182" s="80">
        <f t="shared" si="1"/>
        <v>0</v>
      </c>
      <c r="R182" s="80">
        <f t="shared" si="2"/>
        <v>0</v>
      </c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</row>
    <row r="183" spans="1:33" x14ac:dyDescent="0.25">
      <c r="A183" s="77">
        <v>6</v>
      </c>
      <c r="B183" s="78" t="s">
        <v>183</v>
      </c>
      <c r="C183" s="79">
        <v>22</v>
      </c>
      <c r="D183" s="79">
        <v>33</v>
      </c>
      <c r="E183" s="79">
        <v>17</v>
      </c>
      <c r="F183" s="79"/>
      <c r="G183" s="79"/>
      <c r="H183" s="79"/>
      <c r="I183" s="79"/>
      <c r="J183" s="79"/>
      <c r="K183" s="79"/>
      <c r="L183" s="79"/>
      <c r="M183" s="79"/>
      <c r="N183" s="79"/>
      <c r="O183" s="68" t="s">
        <v>276</v>
      </c>
      <c r="P183" s="80">
        <f t="shared" si="0"/>
        <v>72</v>
      </c>
      <c r="Q183" s="80">
        <f t="shared" si="1"/>
        <v>12</v>
      </c>
      <c r="R183" s="80">
        <f t="shared" si="2"/>
        <v>1.2000000000000002</v>
      </c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</row>
    <row r="184" spans="1:33" x14ac:dyDescent="0.25">
      <c r="A184" s="77">
        <v>7</v>
      </c>
      <c r="B184" s="78" t="s">
        <v>184</v>
      </c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68" t="s">
        <v>276</v>
      </c>
      <c r="P184" s="80">
        <f t="shared" si="0"/>
        <v>0</v>
      </c>
      <c r="Q184" s="80">
        <f t="shared" si="1"/>
        <v>0</v>
      </c>
      <c r="R184" s="80">
        <f t="shared" si="2"/>
        <v>0</v>
      </c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</row>
    <row r="185" spans="1:33" x14ac:dyDescent="0.25">
      <c r="A185" s="77">
        <v>8</v>
      </c>
      <c r="B185" s="78" t="s">
        <v>185</v>
      </c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68" t="s">
        <v>276</v>
      </c>
      <c r="P185" s="80">
        <f t="shared" si="0"/>
        <v>0</v>
      </c>
      <c r="Q185" s="80">
        <f t="shared" si="1"/>
        <v>0</v>
      </c>
      <c r="R185" s="80">
        <f t="shared" si="2"/>
        <v>0</v>
      </c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1:33" x14ac:dyDescent="0.25">
      <c r="A186" s="77">
        <v>1</v>
      </c>
      <c r="B186" s="78" t="s">
        <v>186</v>
      </c>
      <c r="C186" s="79">
        <v>44</v>
      </c>
      <c r="D186" s="79">
        <v>42</v>
      </c>
      <c r="E186" s="79">
        <v>33</v>
      </c>
      <c r="F186" s="79">
        <v>46</v>
      </c>
      <c r="G186" s="79">
        <v>41</v>
      </c>
      <c r="H186" s="79">
        <v>41</v>
      </c>
      <c r="I186" s="79">
        <v>38</v>
      </c>
      <c r="J186" s="79">
        <v>33</v>
      </c>
      <c r="K186" s="79">
        <v>35</v>
      </c>
      <c r="L186" s="79">
        <v>38</v>
      </c>
      <c r="M186" s="79">
        <v>38</v>
      </c>
      <c r="N186" s="79">
        <v>36</v>
      </c>
      <c r="O186" s="77" t="s">
        <v>277</v>
      </c>
      <c r="P186" s="80">
        <f t="shared" si="0"/>
        <v>465</v>
      </c>
      <c r="Q186" s="80">
        <f t="shared" si="1"/>
        <v>77.5</v>
      </c>
      <c r="R186" s="80">
        <f t="shared" si="2"/>
        <v>7.75</v>
      </c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</row>
    <row r="187" spans="1:33" x14ac:dyDescent="0.25">
      <c r="A187" s="77">
        <v>2</v>
      </c>
      <c r="B187" s="78" t="s">
        <v>187</v>
      </c>
      <c r="C187" s="79">
        <v>27</v>
      </c>
      <c r="D187" s="79">
        <v>34</v>
      </c>
      <c r="E187" s="79">
        <v>25</v>
      </c>
      <c r="F187" s="79">
        <v>27</v>
      </c>
      <c r="G187" s="79">
        <v>24</v>
      </c>
      <c r="H187" s="79">
        <v>30</v>
      </c>
      <c r="I187" s="79">
        <v>33</v>
      </c>
      <c r="J187" s="79">
        <v>28</v>
      </c>
      <c r="K187" s="79">
        <v>32</v>
      </c>
      <c r="L187" s="79">
        <v>24</v>
      </c>
      <c r="M187" s="79">
        <v>23</v>
      </c>
      <c r="N187" s="79">
        <v>26</v>
      </c>
      <c r="O187" s="77" t="s">
        <v>277</v>
      </c>
      <c r="P187" s="80">
        <f t="shared" si="0"/>
        <v>333</v>
      </c>
      <c r="Q187" s="80">
        <f t="shared" si="1"/>
        <v>55.500000000000007</v>
      </c>
      <c r="R187" s="80">
        <f t="shared" si="2"/>
        <v>5.5500000000000007</v>
      </c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</row>
    <row r="188" spans="1:33" x14ac:dyDescent="0.25">
      <c r="A188" s="77">
        <v>3</v>
      </c>
      <c r="B188" s="78" t="s">
        <v>188</v>
      </c>
      <c r="C188" s="79"/>
      <c r="D188" s="79">
        <v>38</v>
      </c>
      <c r="E188" s="79">
        <v>30</v>
      </c>
      <c r="F188" s="79">
        <v>31</v>
      </c>
      <c r="G188" s="79">
        <v>27</v>
      </c>
      <c r="H188" s="79"/>
      <c r="I188" s="79"/>
      <c r="J188" s="79"/>
      <c r="K188" s="79"/>
      <c r="L188" s="79">
        <v>21</v>
      </c>
      <c r="M188" s="79"/>
      <c r="N188" s="79">
        <v>33</v>
      </c>
      <c r="O188" s="77" t="s">
        <v>277</v>
      </c>
      <c r="P188" s="80">
        <f t="shared" si="0"/>
        <v>180</v>
      </c>
      <c r="Q188" s="80">
        <f t="shared" si="1"/>
        <v>30</v>
      </c>
      <c r="R188" s="80">
        <f t="shared" si="2"/>
        <v>3</v>
      </c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</row>
    <row r="189" spans="1:33" x14ac:dyDescent="0.25">
      <c r="A189" s="77">
        <v>4</v>
      </c>
      <c r="B189" s="78" t="s">
        <v>189</v>
      </c>
      <c r="C189" s="79">
        <v>41</v>
      </c>
      <c r="D189" s="79">
        <v>35</v>
      </c>
      <c r="E189" s="79">
        <v>36</v>
      </c>
      <c r="F189" s="79">
        <v>36</v>
      </c>
      <c r="G189" s="79">
        <v>40</v>
      </c>
      <c r="H189" s="79">
        <v>40</v>
      </c>
      <c r="I189" s="79">
        <v>36</v>
      </c>
      <c r="J189" s="79">
        <v>27</v>
      </c>
      <c r="K189" s="79">
        <v>25</v>
      </c>
      <c r="L189" s="79">
        <v>26</v>
      </c>
      <c r="M189" s="79">
        <v>33</v>
      </c>
      <c r="N189" s="79">
        <v>29</v>
      </c>
      <c r="O189" s="77" t="s">
        <v>277</v>
      </c>
      <c r="P189" s="80">
        <f t="shared" si="0"/>
        <v>404</v>
      </c>
      <c r="Q189" s="80">
        <f t="shared" si="1"/>
        <v>67.333333333333329</v>
      </c>
      <c r="R189" s="80">
        <f t="shared" si="2"/>
        <v>6.7333333333333334</v>
      </c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</row>
    <row r="190" spans="1:33" x14ac:dyDescent="0.25">
      <c r="A190" s="77">
        <v>5</v>
      </c>
      <c r="B190" s="78" t="s">
        <v>190</v>
      </c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7" t="s">
        <v>277</v>
      </c>
      <c r="P190" s="80">
        <f t="shared" si="0"/>
        <v>0</v>
      </c>
      <c r="Q190" s="80">
        <f t="shared" si="1"/>
        <v>0</v>
      </c>
      <c r="R190" s="80">
        <f t="shared" si="2"/>
        <v>0</v>
      </c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</row>
    <row r="191" spans="1:33" x14ac:dyDescent="0.25">
      <c r="A191" s="77">
        <v>6</v>
      </c>
      <c r="B191" s="78" t="s">
        <v>191</v>
      </c>
      <c r="C191" s="79">
        <v>32</v>
      </c>
      <c r="D191" s="79">
        <v>32</v>
      </c>
      <c r="E191" s="79">
        <v>28</v>
      </c>
      <c r="F191" s="79">
        <v>34</v>
      </c>
      <c r="G191" s="79">
        <v>41</v>
      </c>
      <c r="H191" s="79">
        <v>44</v>
      </c>
      <c r="I191" s="79">
        <v>34</v>
      </c>
      <c r="J191" s="79">
        <v>39</v>
      </c>
      <c r="K191" s="79">
        <v>41</v>
      </c>
      <c r="L191" s="79">
        <v>33</v>
      </c>
      <c r="M191" s="79">
        <v>37</v>
      </c>
      <c r="N191" s="79">
        <v>25</v>
      </c>
      <c r="O191" s="77" t="s">
        <v>277</v>
      </c>
      <c r="P191" s="80">
        <f t="shared" si="0"/>
        <v>420</v>
      </c>
      <c r="Q191" s="80">
        <f t="shared" si="1"/>
        <v>70</v>
      </c>
      <c r="R191" s="80">
        <f t="shared" si="2"/>
        <v>7</v>
      </c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</row>
    <row r="192" spans="1:33" x14ac:dyDescent="0.25">
      <c r="A192" s="77">
        <v>7</v>
      </c>
      <c r="B192" s="78" t="s">
        <v>192</v>
      </c>
      <c r="C192" s="79">
        <v>44</v>
      </c>
      <c r="D192" s="79">
        <v>49</v>
      </c>
      <c r="E192" s="79">
        <v>40</v>
      </c>
      <c r="F192" s="79">
        <v>47</v>
      </c>
      <c r="G192" s="79"/>
      <c r="H192" s="79">
        <v>46</v>
      </c>
      <c r="I192" s="79"/>
      <c r="J192" s="79">
        <v>38</v>
      </c>
      <c r="K192" s="79"/>
      <c r="L192" s="79">
        <v>36</v>
      </c>
      <c r="M192" s="79">
        <v>36</v>
      </c>
      <c r="N192" s="79">
        <v>30</v>
      </c>
      <c r="O192" s="77" t="s">
        <v>277</v>
      </c>
      <c r="P192" s="80">
        <f t="shared" si="0"/>
        <v>366</v>
      </c>
      <c r="Q192" s="80">
        <f t="shared" si="1"/>
        <v>61</v>
      </c>
      <c r="R192" s="80">
        <f t="shared" si="2"/>
        <v>6.1000000000000005</v>
      </c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</row>
    <row r="193" spans="1:33" x14ac:dyDescent="0.25">
      <c r="A193" s="77">
        <v>8</v>
      </c>
      <c r="B193" s="78" t="s">
        <v>193</v>
      </c>
      <c r="C193" s="79">
        <v>32</v>
      </c>
      <c r="D193" s="79">
        <v>31</v>
      </c>
      <c r="E193" s="79">
        <v>33</v>
      </c>
      <c r="F193" s="79">
        <v>43</v>
      </c>
      <c r="G193" s="79">
        <v>41</v>
      </c>
      <c r="H193" s="79">
        <v>41</v>
      </c>
      <c r="I193" s="79">
        <v>38</v>
      </c>
      <c r="J193" s="79">
        <v>44</v>
      </c>
      <c r="K193" s="79">
        <v>43</v>
      </c>
      <c r="L193" s="79">
        <v>33</v>
      </c>
      <c r="M193" s="79">
        <v>36</v>
      </c>
      <c r="N193" s="79">
        <v>36</v>
      </c>
      <c r="O193" s="77" t="s">
        <v>277</v>
      </c>
      <c r="P193" s="80">
        <f t="shared" si="0"/>
        <v>451</v>
      </c>
      <c r="Q193" s="80">
        <f t="shared" si="1"/>
        <v>75.166666666666671</v>
      </c>
      <c r="R193" s="80">
        <f t="shared" si="2"/>
        <v>7.5166666666666675</v>
      </c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</row>
    <row r="194" spans="1:33" x14ac:dyDescent="0.25">
      <c r="A194" s="77">
        <v>9</v>
      </c>
      <c r="B194" s="78" t="s">
        <v>194</v>
      </c>
      <c r="C194" s="79">
        <v>40</v>
      </c>
      <c r="D194" s="79">
        <v>48</v>
      </c>
      <c r="E194" s="79">
        <v>37</v>
      </c>
      <c r="F194" s="79">
        <v>45</v>
      </c>
      <c r="G194" s="79">
        <v>37</v>
      </c>
      <c r="H194" s="79">
        <v>46</v>
      </c>
      <c r="I194" s="79">
        <v>43</v>
      </c>
      <c r="J194" s="79">
        <v>40</v>
      </c>
      <c r="K194" s="79">
        <v>39</v>
      </c>
      <c r="L194" s="79">
        <v>37</v>
      </c>
      <c r="M194" s="79">
        <v>42</v>
      </c>
      <c r="N194" s="79">
        <v>37</v>
      </c>
      <c r="O194" s="77" t="s">
        <v>277</v>
      </c>
      <c r="P194" s="80">
        <f t="shared" si="0"/>
        <v>491</v>
      </c>
      <c r="Q194" s="80">
        <f t="shared" si="1"/>
        <v>81.833333333333343</v>
      </c>
      <c r="R194" s="80">
        <f t="shared" si="2"/>
        <v>8.1833333333333353</v>
      </c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</row>
    <row r="195" spans="1:33" x14ac:dyDescent="0.25">
      <c r="A195" s="77">
        <v>10</v>
      </c>
      <c r="B195" s="78" t="s">
        <v>195</v>
      </c>
      <c r="C195" s="79">
        <v>42</v>
      </c>
      <c r="D195" s="79">
        <v>35</v>
      </c>
      <c r="E195" s="79">
        <v>33</v>
      </c>
      <c r="F195" s="79">
        <v>40</v>
      </c>
      <c r="G195" s="79">
        <v>36</v>
      </c>
      <c r="H195" s="79">
        <v>43</v>
      </c>
      <c r="I195" s="79">
        <v>34</v>
      </c>
      <c r="J195" s="79">
        <v>25</v>
      </c>
      <c r="K195" s="79">
        <v>27</v>
      </c>
      <c r="L195" s="79">
        <v>29</v>
      </c>
      <c r="M195" s="79">
        <v>34</v>
      </c>
      <c r="N195" s="79">
        <v>26</v>
      </c>
      <c r="O195" s="77" t="s">
        <v>277</v>
      </c>
      <c r="P195" s="80">
        <f t="shared" si="0"/>
        <v>404</v>
      </c>
      <c r="Q195" s="80">
        <f t="shared" si="1"/>
        <v>67.333333333333329</v>
      </c>
      <c r="R195" s="80">
        <f t="shared" si="2"/>
        <v>6.7333333333333334</v>
      </c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</row>
    <row r="196" spans="1:33" x14ac:dyDescent="0.25">
      <c r="A196" s="77">
        <v>11</v>
      </c>
      <c r="B196" s="78" t="s">
        <v>196</v>
      </c>
      <c r="C196" s="79">
        <v>36</v>
      </c>
      <c r="D196" s="79">
        <v>35</v>
      </c>
      <c r="E196" s="79">
        <v>19</v>
      </c>
      <c r="F196" s="79">
        <v>23</v>
      </c>
      <c r="G196" s="79">
        <v>20</v>
      </c>
      <c r="H196" s="79">
        <v>24</v>
      </c>
      <c r="I196" s="79">
        <v>24</v>
      </c>
      <c r="J196" s="79">
        <v>24</v>
      </c>
      <c r="K196" s="79">
        <v>25</v>
      </c>
      <c r="L196" s="79">
        <v>25</v>
      </c>
      <c r="M196" s="79">
        <v>25</v>
      </c>
      <c r="N196" s="79">
        <v>17</v>
      </c>
      <c r="O196" s="77" t="s">
        <v>277</v>
      </c>
      <c r="P196" s="80">
        <f t="shared" si="0"/>
        <v>297</v>
      </c>
      <c r="Q196" s="80">
        <f t="shared" si="1"/>
        <v>49.5</v>
      </c>
      <c r="R196" s="80">
        <f t="shared" si="2"/>
        <v>4.95</v>
      </c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1:33" x14ac:dyDescent="0.25">
      <c r="A197" s="77">
        <v>12</v>
      </c>
      <c r="B197" s="78" t="s">
        <v>197</v>
      </c>
      <c r="C197" s="79">
        <v>26</v>
      </c>
      <c r="D197" s="79">
        <v>13</v>
      </c>
      <c r="E197" s="79">
        <v>7</v>
      </c>
      <c r="F197" s="79">
        <v>12</v>
      </c>
      <c r="G197" s="79">
        <v>19</v>
      </c>
      <c r="H197" s="79">
        <v>16</v>
      </c>
      <c r="I197" s="79">
        <v>20</v>
      </c>
      <c r="J197" s="79">
        <v>9</v>
      </c>
      <c r="K197" s="79">
        <v>12</v>
      </c>
      <c r="L197" s="79">
        <v>12</v>
      </c>
      <c r="M197" s="79">
        <v>14</v>
      </c>
      <c r="N197" s="79">
        <v>18</v>
      </c>
      <c r="O197" s="77" t="s">
        <v>277</v>
      </c>
      <c r="P197" s="80">
        <f t="shared" si="0"/>
        <v>178</v>
      </c>
      <c r="Q197" s="80">
        <f t="shared" si="1"/>
        <v>29.666666666666668</v>
      </c>
      <c r="R197" s="80">
        <f t="shared" si="2"/>
        <v>2.9666666666666668</v>
      </c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</row>
    <row r="198" spans="1:33" x14ac:dyDescent="0.25">
      <c r="A198" s="77">
        <v>13</v>
      </c>
      <c r="B198" s="78" t="s">
        <v>198</v>
      </c>
      <c r="C198" s="79">
        <v>22</v>
      </c>
      <c r="D198" s="79">
        <v>30</v>
      </c>
      <c r="E198" s="79">
        <v>24</v>
      </c>
      <c r="F198" s="79">
        <v>29</v>
      </c>
      <c r="G198" s="79">
        <v>20</v>
      </c>
      <c r="H198" s="79">
        <v>26</v>
      </c>
      <c r="I198" s="79">
        <v>24</v>
      </c>
      <c r="J198" s="79">
        <v>32</v>
      </c>
      <c r="K198" s="79">
        <v>30</v>
      </c>
      <c r="L198" s="79">
        <v>25</v>
      </c>
      <c r="M198" s="79">
        <v>30</v>
      </c>
      <c r="N198" s="79">
        <v>24</v>
      </c>
      <c r="O198" s="77" t="s">
        <v>277</v>
      </c>
      <c r="P198" s="80">
        <f t="shared" si="0"/>
        <v>316</v>
      </c>
      <c r="Q198" s="80">
        <f t="shared" si="1"/>
        <v>52.666666666666664</v>
      </c>
      <c r="R198" s="80">
        <f t="shared" si="2"/>
        <v>5.2666666666666666</v>
      </c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</row>
    <row r="199" spans="1:33" x14ac:dyDescent="0.25">
      <c r="A199" s="77">
        <v>14</v>
      </c>
      <c r="B199" s="78" t="s">
        <v>199</v>
      </c>
      <c r="C199" s="79">
        <v>46</v>
      </c>
      <c r="D199" s="79">
        <v>34</v>
      </c>
      <c r="E199" s="79">
        <v>20</v>
      </c>
      <c r="F199" s="79">
        <v>27</v>
      </c>
      <c r="G199" s="79">
        <v>28</v>
      </c>
      <c r="H199" s="79">
        <v>47</v>
      </c>
      <c r="I199" s="79">
        <v>27</v>
      </c>
      <c r="J199" s="79">
        <v>43</v>
      </c>
      <c r="K199" s="79">
        <v>26</v>
      </c>
      <c r="L199" s="79">
        <v>27</v>
      </c>
      <c r="M199" s="79">
        <v>24</v>
      </c>
      <c r="N199" s="79">
        <v>38</v>
      </c>
      <c r="O199" s="77" t="s">
        <v>277</v>
      </c>
      <c r="P199" s="80">
        <f t="shared" si="0"/>
        <v>387</v>
      </c>
      <c r="Q199" s="80">
        <f t="shared" si="1"/>
        <v>64.5</v>
      </c>
      <c r="R199" s="80">
        <f t="shared" si="2"/>
        <v>6.45</v>
      </c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</row>
    <row r="200" spans="1:33" x14ac:dyDescent="0.25">
      <c r="A200" s="77">
        <v>15</v>
      </c>
      <c r="B200" s="78" t="s">
        <v>200</v>
      </c>
      <c r="C200" s="79">
        <v>40</v>
      </c>
      <c r="D200" s="79">
        <v>39</v>
      </c>
      <c r="E200" s="79">
        <v>38</v>
      </c>
      <c r="F200" s="79">
        <v>29</v>
      </c>
      <c r="G200" s="79">
        <v>27</v>
      </c>
      <c r="H200" s="79">
        <v>25</v>
      </c>
      <c r="I200" s="79">
        <v>28</v>
      </c>
      <c r="J200" s="79">
        <v>19</v>
      </c>
      <c r="K200" s="79">
        <v>30</v>
      </c>
      <c r="L200" s="79">
        <v>23</v>
      </c>
      <c r="M200" s="79">
        <v>23</v>
      </c>
      <c r="N200" s="79">
        <v>31</v>
      </c>
      <c r="O200" s="77" t="s">
        <v>277</v>
      </c>
      <c r="P200" s="80">
        <f t="shared" si="0"/>
        <v>352</v>
      </c>
      <c r="Q200" s="80">
        <f t="shared" si="1"/>
        <v>58.666666666666664</v>
      </c>
      <c r="R200" s="80">
        <f t="shared" si="2"/>
        <v>5.8666666666666671</v>
      </c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</row>
    <row r="201" spans="1:33" x14ac:dyDescent="0.25">
      <c r="A201" s="77">
        <v>16</v>
      </c>
      <c r="B201" s="78" t="s">
        <v>201</v>
      </c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7" t="s">
        <v>277</v>
      </c>
      <c r="P201" s="80">
        <f t="shared" si="0"/>
        <v>0</v>
      </c>
      <c r="Q201" s="80">
        <f t="shared" si="1"/>
        <v>0</v>
      </c>
      <c r="R201" s="80">
        <f t="shared" si="2"/>
        <v>0</v>
      </c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</row>
    <row r="202" spans="1:33" x14ac:dyDescent="0.25">
      <c r="A202" s="77">
        <v>17</v>
      </c>
      <c r="B202" s="78" t="s">
        <v>202</v>
      </c>
      <c r="C202" s="79">
        <v>38</v>
      </c>
      <c r="D202" s="79">
        <v>42</v>
      </c>
      <c r="E202" s="79">
        <v>38</v>
      </c>
      <c r="F202" s="79">
        <v>42</v>
      </c>
      <c r="G202" s="79">
        <v>41</v>
      </c>
      <c r="H202" s="79">
        <v>37</v>
      </c>
      <c r="I202" s="79">
        <v>35</v>
      </c>
      <c r="J202" s="79">
        <v>28</v>
      </c>
      <c r="K202" s="79">
        <v>32</v>
      </c>
      <c r="L202" s="79">
        <v>31</v>
      </c>
      <c r="M202" s="79">
        <v>30</v>
      </c>
      <c r="N202" s="79">
        <v>30</v>
      </c>
      <c r="O202" s="77" t="s">
        <v>277</v>
      </c>
      <c r="P202" s="80">
        <f t="shared" ref="P202:P234" si="3">SUM(C202:N202)</f>
        <v>424</v>
      </c>
      <c r="Q202" s="80">
        <f t="shared" ref="Q202:Q233" si="4">(P202/600)*100</f>
        <v>70.666666666666671</v>
      </c>
      <c r="R202" s="80">
        <f t="shared" ref="R202:R234" si="5">Q202*0.1</f>
        <v>7.0666666666666673</v>
      </c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</row>
    <row r="203" spans="1:33" x14ac:dyDescent="0.25">
      <c r="A203" s="77">
        <v>18</v>
      </c>
      <c r="B203" s="78" t="s">
        <v>203</v>
      </c>
      <c r="C203" s="79">
        <v>38</v>
      </c>
      <c r="D203" s="79">
        <v>43</v>
      </c>
      <c r="E203" s="79">
        <v>23</v>
      </c>
      <c r="F203" s="79">
        <v>45</v>
      </c>
      <c r="G203" s="79">
        <v>31</v>
      </c>
      <c r="H203" s="79">
        <v>42</v>
      </c>
      <c r="I203" s="79">
        <v>36</v>
      </c>
      <c r="J203" s="79">
        <v>37</v>
      </c>
      <c r="K203" s="79">
        <v>30</v>
      </c>
      <c r="L203" s="79">
        <v>30</v>
      </c>
      <c r="M203" s="79">
        <v>37</v>
      </c>
      <c r="N203" s="79">
        <v>34</v>
      </c>
      <c r="O203" s="77" t="s">
        <v>277</v>
      </c>
      <c r="P203" s="80">
        <f t="shared" si="3"/>
        <v>426</v>
      </c>
      <c r="Q203" s="80">
        <f t="shared" si="4"/>
        <v>71</v>
      </c>
      <c r="R203" s="80">
        <f t="shared" si="5"/>
        <v>7.1000000000000005</v>
      </c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</row>
    <row r="204" spans="1:33" x14ac:dyDescent="0.25">
      <c r="A204" s="77">
        <v>19</v>
      </c>
      <c r="B204" s="78" t="s">
        <v>204</v>
      </c>
      <c r="C204" s="79">
        <v>34</v>
      </c>
      <c r="D204" s="79">
        <v>34</v>
      </c>
      <c r="E204" s="79">
        <v>34</v>
      </c>
      <c r="F204" s="79">
        <v>29</v>
      </c>
      <c r="G204" s="79">
        <v>29</v>
      </c>
      <c r="H204" s="79">
        <v>29</v>
      </c>
      <c r="I204" s="79">
        <v>33</v>
      </c>
      <c r="J204" s="79">
        <v>25</v>
      </c>
      <c r="K204" s="79">
        <v>30</v>
      </c>
      <c r="L204" s="79">
        <v>31</v>
      </c>
      <c r="M204" s="79">
        <v>26</v>
      </c>
      <c r="N204" s="79">
        <v>29</v>
      </c>
      <c r="O204" s="77" t="s">
        <v>277</v>
      </c>
      <c r="P204" s="80">
        <f t="shared" si="3"/>
        <v>363</v>
      </c>
      <c r="Q204" s="80">
        <f t="shared" si="4"/>
        <v>60.5</v>
      </c>
      <c r="R204" s="80">
        <f t="shared" si="5"/>
        <v>6.0500000000000007</v>
      </c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</row>
    <row r="205" spans="1:33" x14ac:dyDescent="0.25">
      <c r="A205" s="77">
        <v>20</v>
      </c>
      <c r="B205" s="78" t="s">
        <v>205</v>
      </c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7" t="s">
        <v>277</v>
      </c>
      <c r="P205" s="80">
        <f t="shared" si="3"/>
        <v>0</v>
      </c>
      <c r="Q205" s="80">
        <f t="shared" si="4"/>
        <v>0</v>
      </c>
      <c r="R205" s="80">
        <f t="shared" si="5"/>
        <v>0</v>
      </c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</row>
    <row r="206" spans="1:33" x14ac:dyDescent="0.25">
      <c r="A206" s="77">
        <v>21</v>
      </c>
      <c r="B206" s="78" t="s">
        <v>206</v>
      </c>
      <c r="C206" s="79">
        <v>46</v>
      </c>
      <c r="D206" s="79">
        <v>46</v>
      </c>
      <c r="E206" s="79">
        <v>40</v>
      </c>
      <c r="F206" s="79">
        <v>45</v>
      </c>
      <c r="G206" s="79">
        <v>34</v>
      </c>
      <c r="H206" s="79">
        <v>46</v>
      </c>
      <c r="I206" s="79">
        <v>43</v>
      </c>
      <c r="J206" s="79">
        <v>43</v>
      </c>
      <c r="K206" s="79">
        <v>47</v>
      </c>
      <c r="L206" s="79">
        <v>37</v>
      </c>
      <c r="M206" s="79">
        <v>40</v>
      </c>
      <c r="N206" s="79">
        <v>37</v>
      </c>
      <c r="O206" s="77" t="s">
        <v>277</v>
      </c>
      <c r="P206" s="80">
        <f t="shared" si="3"/>
        <v>504</v>
      </c>
      <c r="Q206" s="80">
        <f t="shared" si="4"/>
        <v>84</v>
      </c>
      <c r="R206" s="80">
        <f t="shared" si="5"/>
        <v>8.4</v>
      </c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</row>
    <row r="207" spans="1:33" x14ac:dyDescent="0.25">
      <c r="A207" s="77">
        <v>22</v>
      </c>
      <c r="B207" s="78" t="s">
        <v>207</v>
      </c>
      <c r="C207" s="79">
        <v>37</v>
      </c>
      <c r="D207" s="79">
        <v>35</v>
      </c>
      <c r="E207" s="79">
        <v>33</v>
      </c>
      <c r="F207" s="79">
        <v>36</v>
      </c>
      <c r="G207" s="79">
        <v>35</v>
      </c>
      <c r="H207" s="79">
        <v>35</v>
      </c>
      <c r="I207" s="79">
        <v>38</v>
      </c>
      <c r="J207" s="79">
        <v>33</v>
      </c>
      <c r="K207" s="79">
        <v>40</v>
      </c>
      <c r="L207" s="79">
        <v>29</v>
      </c>
      <c r="M207" s="79">
        <v>32</v>
      </c>
      <c r="N207" s="79">
        <v>31</v>
      </c>
      <c r="O207" s="77" t="s">
        <v>277</v>
      </c>
      <c r="P207" s="80">
        <f t="shared" si="3"/>
        <v>414</v>
      </c>
      <c r="Q207" s="80">
        <f t="shared" si="4"/>
        <v>69</v>
      </c>
      <c r="R207" s="80">
        <f t="shared" si="5"/>
        <v>6.9</v>
      </c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</row>
    <row r="208" spans="1:33" x14ac:dyDescent="0.25">
      <c r="A208" s="77">
        <v>23</v>
      </c>
      <c r="B208" s="78" t="s">
        <v>208</v>
      </c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7" t="s">
        <v>277</v>
      </c>
      <c r="P208" s="80">
        <f t="shared" si="3"/>
        <v>0</v>
      </c>
      <c r="Q208" s="80">
        <f t="shared" si="4"/>
        <v>0</v>
      </c>
      <c r="R208" s="80">
        <f t="shared" si="5"/>
        <v>0</v>
      </c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1:33" x14ac:dyDescent="0.25">
      <c r="A209" s="77">
        <v>24</v>
      </c>
      <c r="B209" s="78" t="s">
        <v>209</v>
      </c>
      <c r="C209" s="79">
        <v>30</v>
      </c>
      <c r="D209" s="79">
        <v>33</v>
      </c>
      <c r="E209" s="79">
        <v>26</v>
      </c>
      <c r="F209" s="79">
        <v>30</v>
      </c>
      <c r="G209" s="79">
        <v>30</v>
      </c>
      <c r="H209" s="79">
        <v>29</v>
      </c>
      <c r="I209" s="79">
        <v>31</v>
      </c>
      <c r="J209" s="79">
        <v>26</v>
      </c>
      <c r="K209" s="79">
        <v>31</v>
      </c>
      <c r="L209" s="79">
        <v>25</v>
      </c>
      <c r="M209" s="79">
        <v>23</v>
      </c>
      <c r="N209" s="79">
        <v>22</v>
      </c>
      <c r="O209" s="77" t="s">
        <v>277</v>
      </c>
      <c r="P209" s="80">
        <f t="shared" si="3"/>
        <v>336</v>
      </c>
      <c r="Q209" s="80">
        <f t="shared" si="4"/>
        <v>56.000000000000007</v>
      </c>
      <c r="R209" s="80">
        <f t="shared" si="5"/>
        <v>5.6000000000000014</v>
      </c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1:33" x14ac:dyDescent="0.25">
      <c r="A210" s="77">
        <v>25</v>
      </c>
      <c r="B210" s="78" t="s">
        <v>210</v>
      </c>
      <c r="C210" s="79">
        <v>36</v>
      </c>
      <c r="D210" s="79">
        <v>30</v>
      </c>
      <c r="E210" s="79">
        <v>29</v>
      </c>
      <c r="F210" s="79">
        <v>29</v>
      </c>
      <c r="G210" s="79">
        <v>24</v>
      </c>
      <c r="H210" s="79">
        <v>10</v>
      </c>
      <c r="I210" s="79">
        <v>25</v>
      </c>
      <c r="J210" s="79">
        <v>29</v>
      </c>
      <c r="K210" s="79">
        <v>33</v>
      </c>
      <c r="L210" s="79">
        <v>36</v>
      </c>
      <c r="M210" s="79">
        <v>24</v>
      </c>
      <c r="N210" s="79">
        <v>25</v>
      </c>
      <c r="O210" s="77" t="s">
        <v>277</v>
      </c>
      <c r="P210" s="80">
        <f t="shared" si="3"/>
        <v>330</v>
      </c>
      <c r="Q210" s="80">
        <f t="shared" si="4"/>
        <v>55.000000000000007</v>
      </c>
      <c r="R210" s="80">
        <f t="shared" si="5"/>
        <v>5.5000000000000009</v>
      </c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1:33" x14ac:dyDescent="0.25">
      <c r="A211" s="77">
        <v>26</v>
      </c>
      <c r="B211" s="78" t="s">
        <v>211</v>
      </c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7" t="s">
        <v>277</v>
      </c>
      <c r="P211" s="80">
        <f t="shared" si="3"/>
        <v>0</v>
      </c>
      <c r="Q211" s="80">
        <f t="shared" si="4"/>
        <v>0</v>
      </c>
      <c r="R211" s="80">
        <f t="shared" si="5"/>
        <v>0</v>
      </c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</row>
    <row r="212" spans="1:33" x14ac:dyDescent="0.25">
      <c r="A212" s="77">
        <v>27</v>
      </c>
      <c r="B212" s="78" t="s">
        <v>212</v>
      </c>
      <c r="C212" s="79">
        <v>25</v>
      </c>
      <c r="D212" s="79">
        <v>38</v>
      </c>
      <c r="E212" s="79">
        <v>23</v>
      </c>
      <c r="F212" s="79">
        <v>25</v>
      </c>
      <c r="G212" s="79">
        <v>22</v>
      </c>
      <c r="H212" s="79">
        <v>36</v>
      </c>
      <c r="I212" s="79">
        <v>29</v>
      </c>
      <c r="J212" s="79">
        <v>23</v>
      </c>
      <c r="K212" s="79">
        <v>28</v>
      </c>
      <c r="L212" s="79">
        <v>20</v>
      </c>
      <c r="M212" s="79">
        <v>26</v>
      </c>
      <c r="N212" s="79">
        <v>19</v>
      </c>
      <c r="O212" s="77" t="s">
        <v>277</v>
      </c>
      <c r="P212" s="80">
        <f t="shared" si="3"/>
        <v>314</v>
      </c>
      <c r="Q212" s="80">
        <f t="shared" si="4"/>
        <v>52.333333333333329</v>
      </c>
      <c r="R212" s="80">
        <f t="shared" si="5"/>
        <v>5.2333333333333334</v>
      </c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</row>
    <row r="213" spans="1:33" x14ac:dyDescent="0.25">
      <c r="A213" s="77">
        <v>28</v>
      </c>
      <c r="B213" s="78" t="s">
        <v>213</v>
      </c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7" t="s">
        <v>277</v>
      </c>
      <c r="P213" s="80">
        <f t="shared" si="3"/>
        <v>0</v>
      </c>
      <c r="Q213" s="80">
        <f t="shared" si="4"/>
        <v>0</v>
      </c>
      <c r="R213" s="80">
        <f t="shared" si="5"/>
        <v>0</v>
      </c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</row>
    <row r="214" spans="1:33" x14ac:dyDescent="0.25">
      <c r="A214" s="77">
        <v>29</v>
      </c>
      <c r="B214" s="78" t="s">
        <v>214</v>
      </c>
      <c r="C214" s="79">
        <v>27</v>
      </c>
      <c r="D214" s="79">
        <v>27</v>
      </c>
      <c r="E214" s="79">
        <v>20</v>
      </c>
      <c r="F214" s="79">
        <v>26</v>
      </c>
      <c r="G214" s="79">
        <v>18</v>
      </c>
      <c r="H214" s="79">
        <v>19</v>
      </c>
      <c r="I214" s="79">
        <v>24</v>
      </c>
      <c r="J214" s="79">
        <v>23</v>
      </c>
      <c r="K214" s="79">
        <v>22</v>
      </c>
      <c r="L214" s="79">
        <v>23</v>
      </c>
      <c r="M214" s="79">
        <v>18</v>
      </c>
      <c r="N214" s="79">
        <v>16</v>
      </c>
      <c r="O214" s="77" t="s">
        <v>277</v>
      </c>
      <c r="P214" s="80">
        <f t="shared" si="3"/>
        <v>263</v>
      </c>
      <c r="Q214" s="80">
        <f t="shared" si="4"/>
        <v>43.833333333333336</v>
      </c>
      <c r="R214" s="80">
        <f t="shared" si="5"/>
        <v>4.3833333333333337</v>
      </c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</row>
    <row r="215" spans="1:33" x14ac:dyDescent="0.25">
      <c r="A215" s="77">
        <v>30</v>
      </c>
      <c r="B215" s="78" t="s">
        <v>215</v>
      </c>
      <c r="C215" s="79">
        <v>30</v>
      </c>
      <c r="D215" s="79">
        <v>13</v>
      </c>
      <c r="E215" s="79">
        <v>37</v>
      </c>
      <c r="F215" s="79">
        <v>48</v>
      </c>
      <c r="G215" s="79"/>
      <c r="H215" s="79">
        <v>10</v>
      </c>
      <c r="I215" s="79">
        <v>8</v>
      </c>
      <c r="J215" s="79">
        <v>11</v>
      </c>
      <c r="K215" s="79">
        <v>21</v>
      </c>
      <c r="L215" s="79">
        <v>13</v>
      </c>
      <c r="M215" s="79">
        <v>21</v>
      </c>
      <c r="N215" s="79">
        <v>17</v>
      </c>
      <c r="O215" s="77" t="s">
        <v>277</v>
      </c>
      <c r="P215" s="80">
        <f t="shared" si="3"/>
        <v>229</v>
      </c>
      <c r="Q215" s="80">
        <f t="shared" si="4"/>
        <v>38.166666666666664</v>
      </c>
      <c r="R215" s="80">
        <f t="shared" si="5"/>
        <v>3.8166666666666664</v>
      </c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</row>
    <row r="216" spans="1:33" x14ac:dyDescent="0.25">
      <c r="A216" s="77">
        <v>31</v>
      </c>
      <c r="B216" s="78" t="s">
        <v>216</v>
      </c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7" t="s">
        <v>277</v>
      </c>
      <c r="P216" s="80">
        <f t="shared" si="3"/>
        <v>0</v>
      </c>
      <c r="Q216" s="80">
        <f t="shared" si="4"/>
        <v>0</v>
      </c>
      <c r="R216" s="80">
        <f t="shared" si="5"/>
        <v>0</v>
      </c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</row>
    <row r="217" spans="1:33" x14ac:dyDescent="0.25">
      <c r="A217" s="77">
        <v>32</v>
      </c>
      <c r="B217" s="78" t="s">
        <v>217</v>
      </c>
      <c r="C217" s="79">
        <v>21</v>
      </c>
      <c r="D217" s="79">
        <v>23</v>
      </c>
      <c r="E217" s="79">
        <v>10</v>
      </c>
      <c r="F217" s="79">
        <v>13</v>
      </c>
      <c r="G217" s="79">
        <v>8</v>
      </c>
      <c r="H217" s="79"/>
      <c r="I217" s="79">
        <v>14</v>
      </c>
      <c r="J217" s="79">
        <v>17</v>
      </c>
      <c r="K217" s="79"/>
      <c r="L217" s="79"/>
      <c r="M217" s="79">
        <v>11</v>
      </c>
      <c r="N217" s="79">
        <v>14</v>
      </c>
      <c r="O217" s="77" t="s">
        <v>277</v>
      </c>
      <c r="P217" s="80">
        <f t="shared" si="3"/>
        <v>131</v>
      </c>
      <c r="Q217" s="80">
        <f t="shared" si="4"/>
        <v>21.833333333333332</v>
      </c>
      <c r="R217" s="80">
        <f t="shared" si="5"/>
        <v>2.1833333333333331</v>
      </c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</row>
    <row r="218" spans="1:33" x14ac:dyDescent="0.25">
      <c r="A218" s="77">
        <v>33</v>
      </c>
      <c r="B218" s="78" t="s">
        <v>218</v>
      </c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7" t="s">
        <v>277</v>
      </c>
      <c r="P218" s="80">
        <f t="shared" si="3"/>
        <v>0</v>
      </c>
      <c r="Q218" s="80">
        <f t="shared" si="4"/>
        <v>0</v>
      </c>
      <c r="R218" s="80">
        <f t="shared" si="5"/>
        <v>0</v>
      </c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</row>
    <row r="219" spans="1:33" x14ac:dyDescent="0.25">
      <c r="A219" s="77">
        <v>34</v>
      </c>
      <c r="B219" s="78" t="s">
        <v>219</v>
      </c>
      <c r="C219" s="79"/>
      <c r="D219" s="79">
        <v>37</v>
      </c>
      <c r="E219" s="79">
        <v>37</v>
      </c>
      <c r="F219" s="79">
        <v>38</v>
      </c>
      <c r="G219" s="79">
        <v>34</v>
      </c>
      <c r="H219" s="79">
        <v>40</v>
      </c>
      <c r="I219" s="79">
        <v>37</v>
      </c>
      <c r="J219" s="79">
        <v>40</v>
      </c>
      <c r="K219" s="79">
        <v>37</v>
      </c>
      <c r="L219" s="79">
        <v>17</v>
      </c>
      <c r="M219" s="79">
        <v>38</v>
      </c>
      <c r="N219" s="79">
        <v>30</v>
      </c>
      <c r="O219" s="77" t="s">
        <v>277</v>
      </c>
      <c r="P219" s="80">
        <f t="shared" si="3"/>
        <v>385</v>
      </c>
      <c r="Q219" s="80">
        <f t="shared" si="4"/>
        <v>64.166666666666671</v>
      </c>
      <c r="R219" s="80">
        <f t="shared" si="5"/>
        <v>6.4166666666666679</v>
      </c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</row>
    <row r="220" spans="1:33" x14ac:dyDescent="0.25">
      <c r="A220" s="77">
        <v>35</v>
      </c>
      <c r="B220" s="78" t="s">
        <v>220</v>
      </c>
      <c r="C220" s="79">
        <v>44</v>
      </c>
      <c r="D220" s="79">
        <v>47</v>
      </c>
      <c r="E220" s="79">
        <v>25</v>
      </c>
      <c r="F220" s="79">
        <v>49</v>
      </c>
      <c r="G220" s="79">
        <v>40</v>
      </c>
      <c r="H220" s="79">
        <v>44</v>
      </c>
      <c r="I220" s="79">
        <v>43</v>
      </c>
      <c r="J220" s="79">
        <v>41</v>
      </c>
      <c r="K220" s="79"/>
      <c r="L220" s="79">
        <v>38</v>
      </c>
      <c r="M220" s="79">
        <v>38</v>
      </c>
      <c r="N220" s="79">
        <v>29</v>
      </c>
      <c r="O220" s="77" t="s">
        <v>277</v>
      </c>
      <c r="P220" s="80">
        <f t="shared" si="3"/>
        <v>438</v>
      </c>
      <c r="Q220" s="80">
        <f t="shared" si="4"/>
        <v>73</v>
      </c>
      <c r="R220" s="80">
        <f t="shared" si="5"/>
        <v>7.3000000000000007</v>
      </c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</row>
    <row r="221" spans="1:33" x14ac:dyDescent="0.25">
      <c r="A221" s="77">
        <v>36</v>
      </c>
      <c r="B221" s="78" t="s">
        <v>221</v>
      </c>
      <c r="C221" s="79">
        <v>48</v>
      </c>
      <c r="D221" s="79">
        <v>29</v>
      </c>
      <c r="E221" s="79">
        <v>44</v>
      </c>
      <c r="F221" s="79">
        <v>34</v>
      </c>
      <c r="G221" s="79">
        <v>20</v>
      </c>
      <c r="H221" s="79">
        <v>20</v>
      </c>
      <c r="I221" s="79">
        <v>18</v>
      </c>
      <c r="J221" s="79">
        <v>19</v>
      </c>
      <c r="K221" s="79">
        <v>24</v>
      </c>
      <c r="L221" s="79">
        <v>22</v>
      </c>
      <c r="M221" s="79">
        <v>25</v>
      </c>
      <c r="N221" s="79">
        <v>31</v>
      </c>
      <c r="O221" s="77" t="s">
        <v>277</v>
      </c>
      <c r="P221" s="80">
        <f t="shared" si="3"/>
        <v>334</v>
      </c>
      <c r="Q221" s="80">
        <f t="shared" si="4"/>
        <v>55.666666666666664</v>
      </c>
      <c r="R221" s="80">
        <f t="shared" si="5"/>
        <v>5.5666666666666664</v>
      </c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1:33" x14ac:dyDescent="0.25">
      <c r="A222" s="77">
        <v>37</v>
      </c>
      <c r="B222" s="78" t="s">
        <v>222</v>
      </c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7" t="s">
        <v>277</v>
      </c>
      <c r="P222" s="80">
        <f t="shared" si="3"/>
        <v>0</v>
      </c>
      <c r="Q222" s="80">
        <f t="shared" si="4"/>
        <v>0</v>
      </c>
      <c r="R222" s="80">
        <f t="shared" si="5"/>
        <v>0</v>
      </c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</row>
    <row r="223" spans="1:33" x14ac:dyDescent="0.25">
      <c r="A223" s="77">
        <v>38</v>
      </c>
      <c r="B223" s="78" t="s">
        <v>223</v>
      </c>
      <c r="C223" s="79">
        <v>19</v>
      </c>
      <c r="D223" s="79">
        <v>36</v>
      </c>
      <c r="E223" s="79">
        <v>24</v>
      </c>
      <c r="F223" s="79">
        <v>19</v>
      </c>
      <c r="G223" s="79">
        <v>22</v>
      </c>
      <c r="H223" s="79">
        <v>23</v>
      </c>
      <c r="I223" s="79"/>
      <c r="J223" s="79">
        <v>29</v>
      </c>
      <c r="K223" s="79"/>
      <c r="L223" s="79">
        <v>20</v>
      </c>
      <c r="M223" s="79">
        <v>23</v>
      </c>
      <c r="N223" s="79">
        <v>23</v>
      </c>
      <c r="O223" s="77" t="s">
        <v>277</v>
      </c>
      <c r="P223" s="80">
        <f t="shared" si="3"/>
        <v>238</v>
      </c>
      <c r="Q223" s="80">
        <f t="shared" si="4"/>
        <v>39.666666666666664</v>
      </c>
      <c r="R223" s="80">
        <f t="shared" si="5"/>
        <v>3.9666666666666668</v>
      </c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</row>
    <row r="224" spans="1:33" x14ac:dyDescent="0.25">
      <c r="A224" s="77">
        <v>39</v>
      </c>
      <c r="B224" s="78" t="s">
        <v>224</v>
      </c>
      <c r="C224" s="79">
        <v>20</v>
      </c>
      <c r="D224" s="79">
        <v>23</v>
      </c>
      <c r="E224" s="79">
        <v>11</v>
      </c>
      <c r="F224" s="79">
        <v>7</v>
      </c>
      <c r="G224" s="79">
        <v>9</v>
      </c>
      <c r="H224" s="79">
        <v>14</v>
      </c>
      <c r="I224" s="79">
        <v>18</v>
      </c>
      <c r="J224" s="79">
        <v>16</v>
      </c>
      <c r="K224" s="79">
        <v>15</v>
      </c>
      <c r="L224" s="79">
        <v>17</v>
      </c>
      <c r="M224" s="79">
        <v>19</v>
      </c>
      <c r="N224" s="79">
        <v>27</v>
      </c>
      <c r="O224" s="77" t="s">
        <v>277</v>
      </c>
      <c r="P224" s="80">
        <f t="shared" si="3"/>
        <v>196</v>
      </c>
      <c r="Q224" s="80">
        <f t="shared" si="4"/>
        <v>32.666666666666664</v>
      </c>
      <c r="R224" s="80">
        <f t="shared" si="5"/>
        <v>3.2666666666666666</v>
      </c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</row>
    <row r="225" spans="1:33" x14ac:dyDescent="0.25">
      <c r="A225" s="77">
        <v>40</v>
      </c>
      <c r="B225" s="78" t="s">
        <v>225</v>
      </c>
      <c r="C225" s="79">
        <v>49</v>
      </c>
      <c r="D225" s="79">
        <v>50</v>
      </c>
      <c r="E225" s="79">
        <v>44</v>
      </c>
      <c r="F225" s="79">
        <v>48</v>
      </c>
      <c r="G225" s="79">
        <v>40</v>
      </c>
      <c r="H225" s="79">
        <v>45</v>
      </c>
      <c r="I225" s="79">
        <v>43</v>
      </c>
      <c r="J225" s="79">
        <v>42</v>
      </c>
      <c r="K225" s="79">
        <v>47</v>
      </c>
      <c r="L225" s="79">
        <v>36</v>
      </c>
      <c r="M225" s="79">
        <v>39</v>
      </c>
      <c r="N225" s="79">
        <v>37</v>
      </c>
      <c r="O225" s="77" t="s">
        <v>277</v>
      </c>
      <c r="P225" s="80">
        <f t="shared" si="3"/>
        <v>520</v>
      </c>
      <c r="Q225" s="80">
        <f t="shared" si="4"/>
        <v>86.666666666666671</v>
      </c>
      <c r="R225" s="80">
        <f t="shared" si="5"/>
        <v>8.6666666666666679</v>
      </c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</row>
    <row r="226" spans="1:33" x14ac:dyDescent="0.25">
      <c r="A226" s="77">
        <v>41</v>
      </c>
      <c r="B226" s="78" t="s">
        <v>226</v>
      </c>
      <c r="C226" s="79">
        <v>41</v>
      </c>
      <c r="D226" s="79">
        <v>38</v>
      </c>
      <c r="E226" s="79">
        <v>34</v>
      </c>
      <c r="F226" s="79">
        <v>32</v>
      </c>
      <c r="G226" s="79">
        <v>29</v>
      </c>
      <c r="H226" s="79">
        <v>37</v>
      </c>
      <c r="I226" s="79">
        <v>29</v>
      </c>
      <c r="J226" s="79">
        <v>39</v>
      </c>
      <c r="K226" s="79">
        <v>41</v>
      </c>
      <c r="L226" s="79">
        <v>28</v>
      </c>
      <c r="M226" s="79">
        <v>39</v>
      </c>
      <c r="N226" s="79">
        <v>34</v>
      </c>
      <c r="O226" s="77" t="s">
        <v>277</v>
      </c>
      <c r="P226" s="80">
        <f t="shared" si="3"/>
        <v>421</v>
      </c>
      <c r="Q226" s="80">
        <f t="shared" si="4"/>
        <v>70.166666666666671</v>
      </c>
      <c r="R226" s="80">
        <f t="shared" si="5"/>
        <v>7.0166666666666675</v>
      </c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</row>
    <row r="227" spans="1:33" x14ac:dyDescent="0.25">
      <c r="A227" s="77">
        <v>42</v>
      </c>
      <c r="B227" s="78" t="s">
        <v>227</v>
      </c>
      <c r="C227" s="79">
        <v>28</v>
      </c>
      <c r="D227" s="79">
        <v>35</v>
      </c>
      <c r="E227" s="79">
        <v>29</v>
      </c>
      <c r="F227" s="79">
        <v>27</v>
      </c>
      <c r="G227" s="79">
        <v>23</v>
      </c>
      <c r="H227" s="79">
        <v>25</v>
      </c>
      <c r="I227" s="79">
        <v>26</v>
      </c>
      <c r="J227" s="79">
        <v>33</v>
      </c>
      <c r="K227" s="79">
        <v>29</v>
      </c>
      <c r="L227" s="79">
        <v>23</v>
      </c>
      <c r="M227" s="79">
        <v>20</v>
      </c>
      <c r="N227" s="79">
        <v>22</v>
      </c>
      <c r="O227" s="77" t="s">
        <v>277</v>
      </c>
      <c r="P227" s="80">
        <f t="shared" si="3"/>
        <v>320</v>
      </c>
      <c r="Q227" s="80">
        <f t="shared" si="4"/>
        <v>53.333333333333336</v>
      </c>
      <c r="R227" s="80">
        <f t="shared" si="5"/>
        <v>5.3333333333333339</v>
      </c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</row>
    <row r="228" spans="1:33" x14ac:dyDescent="0.25">
      <c r="A228" s="77">
        <v>43</v>
      </c>
      <c r="B228" s="78" t="s">
        <v>228</v>
      </c>
      <c r="C228" s="79">
        <v>33</v>
      </c>
      <c r="D228" s="79">
        <v>33</v>
      </c>
      <c r="E228" s="79">
        <v>22</v>
      </c>
      <c r="F228" s="79">
        <v>27</v>
      </c>
      <c r="G228" s="79">
        <v>27</v>
      </c>
      <c r="H228" s="79">
        <v>26</v>
      </c>
      <c r="I228" s="79">
        <v>28</v>
      </c>
      <c r="J228" s="79">
        <v>26</v>
      </c>
      <c r="K228" s="79">
        <v>37</v>
      </c>
      <c r="L228" s="79">
        <v>21</v>
      </c>
      <c r="M228" s="79">
        <v>23</v>
      </c>
      <c r="N228" s="79">
        <v>29</v>
      </c>
      <c r="O228" s="77" t="s">
        <v>277</v>
      </c>
      <c r="P228" s="80">
        <f t="shared" si="3"/>
        <v>332</v>
      </c>
      <c r="Q228" s="80">
        <f t="shared" si="4"/>
        <v>55.333333333333336</v>
      </c>
      <c r="R228" s="80">
        <f t="shared" si="5"/>
        <v>5.5333333333333341</v>
      </c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</row>
    <row r="229" spans="1:33" x14ac:dyDescent="0.25">
      <c r="A229" s="77">
        <v>44</v>
      </c>
      <c r="B229" s="78" t="s">
        <v>229</v>
      </c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7" t="s">
        <v>277</v>
      </c>
      <c r="P229" s="80">
        <f t="shared" si="3"/>
        <v>0</v>
      </c>
      <c r="Q229" s="80">
        <f t="shared" si="4"/>
        <v>0</v>
      </c>
      <c r="R229" s="80">
        <f t="shared" si="5"/>
        <v>0</v>
      </c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</row>
    <row r="230" spans="1:33" x14ac:dyDescent="0.25">
      <c r="A230" s="77">
        <v>1</v>
      </c>
      <c r="B230" s="78" t="s">
        <v>230</v>
      </c>
      <c r="C230" s="79"/>
      <c r="D230" s="79"/>
      <c r="E230" s="79"/>
      <c r="F230" s="79"/>
      <c r="G230" s="79"/>
      <c r="H230" s="79"/>
      <c r="I230" s="79">
        <v>23</v>
      </c>
      <c r="J230" s="79"/>
      <c r="K230" s="79"/>
      <c r="L230" s="79"/>
      <c r="M230" s="79"/>
      <c r="N230" s="79"/>
      <c r="O230" s="77" t="s">
        <v>278</v>
      </c>
      <c r="P230" s="80">
        <f t="shared" si="3"/>
        <v>23</v>
      </c>
      <c r="Q230" s="80">
        <f t="shared" si="4"/>
        <v>3.833333333333333</v>
      </c>
      <c r="R230" s="80">
        <f t="shared" si="5"/>
        <v>0.3833333333333333</v>
      </c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</row>
    <row r="231" spans="1:33" x14ac:dyDescent="0.25">
      <c r="A231" s="77">
        <v>2</v>
      </c>
      <c r="B231" s="78" t="s">
        <v>231</v>
      </c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7" t="s">
        <v>278</v>
      </c>
      <c r="P231" s="80">
        <f t="shared" si="3"/>
        <v>0</v>
      </c>
      <c r="Q231" s="80">
        <f t="shared" si="4"/>
        <v>0</v>
      </c>
      <c r="R231" s="80">
        <f t="shared" si="5"/>
        <v>0</v>
      </c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</row>
    <row r="232" spans="1:33" x14ac:dyDescent="0.25">
      <c r="A232" s="77" t="s">
        <v>296</v>
      </c>
      <c r="B232" s="78" t="s">
        <v>297</v>
      </c>
      <c r="C232" s="79">
        <v>19</v>
      </c>
      <c r="D232" s="79">
        <v>23</v>
      </c>
      <c r="E232" s="79">
        <v>24</v>
      </c>
      <c r="F232" s="79">
        <v>18</v>
      </c>
      <c r="G232" s="79">
        <v>21</v>
      </c>
      <c r="H232" s="79">
        <v>19</v>
      </c>
      <c r="I232" s="79">
        <v>16</v>
      </c>
      <c r="J232" s="79"/>
      <c r="K232" s="79"/>
      <c r="L232" s="79">
        <v>23</v>
      </c>
      <c r="M232" s="79"/>
      <c r="N232" s="79">
        <v>23</v>
      </c>
      <c r="O232" s="77" t="s">
        <v>278</v>
      </c>
      <c r="P232" s="80">
        <f t="shared" si="3"/>
        <v>186</v>
      </c>
      <c r="Q232" s="80">
        <f t="shared" si="4"/>
        <v>31</v>
      </c>
      <c r="R232" s="80">
        <f t="shared" si="5"/>
        <v>3.1</v>
      </c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1:33" x14ac:dyDescent="0.25">
      <c r="A233" s="77" t="s">
        <v>296</v>
      </c>
      <c r="B233" s="78" t="s">
        <v>232</v>
      </c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7" t="s">
        <v>279</v>
      </c>
      <c r="P233" s="80">
        <f t="shared" si="3"/>
        <v>0</v>
      </c>
      <c r="Q233" s="80">
        <f t="shared" si="4"/>
        <v>0</v>
      </c>
      <c r="R233" s="80">
        <f t="shared" si="5"/>
        <v>0</v>
      </c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</row>
    <row r="234" spans="1:33" x14ac:dyDescent="0.25">
      <c r="A234" s="77" t="s">
        <v>296</v>
      </c>
      <c r="B234" s="78" t="s">
        <v>233</v>
      </c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7" t="s">
        <v>280</v>
      </c>
      <c r="P234" s="80">
        <f t="shared" si="3"/>
        <v>0</v>
      </c>
      <c r="Q234" s="80">
        <f>(P234/600)*100</f>
        <v>0</v>
      </c>
      <c r="R234" s="80">
        <f t="shared" si="5"/>
        <v>0</v>
      </c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</row>
    <row r="235" spans="1:33" x14ac:dyDescent="0.25">
      <c r="A235" s="77"/>
      <c r="B235" s="78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7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</row>
    <row r="236" spans="1:33" x14ac:dyDescent="0.25">
      <c r="A236" s="77"/>
      <c r="B236" s="78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7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</row>
    <row r="237" spans="1:33" x14ac:dyDescent="0.25">
      <c r="A237" s="77"/>
      <c r="B237" s="78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7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</row>
    <row r="238" spans="1:33" x14ac:dyDescent="0.25">
      <c r="A238" s="77"/>
      <c r="B238" s="78"/>
      <c r="C238" s="79"/>
      <c r="D238" s="79"/>
      <c r="E238" s="79"/>
      <c r="F238" s="79"/>
      <c r="G238" s="79"/>
      <c r="H238" s="79"/>
      <c r="I238" s="81"/>
      <c r="J238" s="81"/>
      <c r="K238" s="81"/>
      <c r="L238" s="81"/>
      <c r="M238" s="81"/>
      <c r="N238" s="81"/>
      <c r="O238" s="77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</row>
    <row r="239" spans="1:33" x14ac:dyDescent="0.25">
      <c r="A239" s="77"/>
      <c r="B239" s="78"/>
      <c r="C239" s="79"/>
      <c r="D239" s="79"/>
      <c r="E239" s="79"/>
      <c r="F239" s="79"/>
      <c r="G239" s="79"/>
      <c r="H239" s="79"/>
      <c r="I239" s="82"/>
      <c r="J239" s="82"/>
      <c r="K239" s="82"/>
      <c r="L239" s="82"/>
      <c r="M239" s="82"/>
      <c r="N239" s="82"/>
      <c r="O239" s="79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</row>
    <row r="240" spans="1:33" x14ac:dyDescent="0.25">
      <c r="A240" s="77"/>
      <c r="B240" s="78"/>
      <c r="C240" s="79">
        <f t="shared" ref="C240:N240" si="6">COUNT(C2:C239)</f>
        <v>98</v>
      </c>
      <c r="D240" s="79">
        <f t="shared" si="6"/>
        <v>99</v>
      </c>
      <c r="E240" s="79">
        <f t="shared" si="6"/>
        <v>82</v>
      </c>
      <c r="F240" s="79">
        <f t="shared" si="6"/>
        <v>81</v>
      </c>
      <c r="G240" s="79">
        <f t="shared" si="6"/>
        <v>84</v>
      </c>
      <c r="H240" s="79">
        <f t="shared" si="6"/>
        <v>82</v>
      </c>
      <c r="I240" s="79">
        <f t="shared" si="6"/>
        <v>84</v>
      </c>
      <c r="J240" s="79">
        <f t="shared" si="6"/>
        <v>80</v>
      </c>
      <c r="K240" s="79">
        <f t="shared" si="6"/>
        <v>74</v>
      </c>
      <c r="L240" s="79">
        <f t="shared" si="6"/>
        <v>83</v>
      </c>
      <c r="M240" s="79">
        <f t="shared" si="6"/>
        <v>81</v>
      </c>
      <c r="N240" s="79">
        <f t="shared" si="6"/>
        <v>86</v>
      </c>
      <c r="O240" s="79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</row>
    <row r="241" spans="1:33" x14ac:dyDescent="0.25">
      <c r="A241" s="77"/>
      <c r="B241" s="78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7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</row>
    <row r="242" spans="1:33" x14ac:dyDescent="0.25">
      <c r="A242" s="77"/>
      <c r="B242" s="78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7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</row>
    <row r="243" spans="1:33" x14ac:dyDescent="0.25">
      <c r="A243" s="77"/>
      <c r="B243" s="78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77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</row>
    <row r="244" spans="1:33" x14ac:dyDescent="0.25">
      <c r="A244" s="77"/>
      <c r="B244" s="78"/>
      <c r="C244" s="82">
        <f t="shared" ref="C244:N244" si="7">AVERAGE(C2:C239)/50</f>
        <v>0.62122448979591838</v>
      </c>
      <c r="D244" s="82">
        <f t="shared" si="7"/>
        <v>0.6204040404040404</v>
      </c>
      <c r="E244" s="82">
        <f t="shared" si="7"/>
        <v>0.551219512195122</v>
      </c>
      <c r="F244" s="82">
        <f t="shared" si="7"/>
        <v>0.59111111111111114</v>
      </c>
      <c r="G244" s="82">
        <f t="shared" si="7"/>
        <v>0.53119047619047621</v>
      </c>
      <c r="H244" s="82">
        <f t="shared" si="7"/>
        <v>0.62951219512195122</v>
      </c>
      <c r="I244" s="82">
        <f t="shared" si="7"/>
        <v>0.56523809523809521</v>
      </c>
      <c r="J244" s="82">
        <f t="shared" si="7"/>
        <v>0.58825000000000005</v>
      </c>
      <c r="K244" s="82">
        <f t="shared" si="7"/>
        <v>0.60837837837837838</v>
      </c>
      <c r="L244" s="82">
        <f t="shared" si="7"/>
        <v>0.52481927710843368</v>
      </c>
      <c r="M244" s="82">
        <f t="shared" si="7"/>
        <v>0.56740740740740736</v>
      </c>
      <c r="N244" s="82">
        <f t="shared" si="7"/>
        <v>0.53348837209302324</v>
      </c>
      <c r="O244" s="77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1:33" x14ac:dyDescent="0.25">
      <c r="A245" s="77"/>
      <c r="B245" s="78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7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1:33" x14ac:dyDescent="0.25">
      <c r="A246" s="77"/>
      <c r="B246" s="78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7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1:33" x14ac:dyDescent="0.25">
      <c r="A247" s="77"/>
      <c r="B247" s="78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7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1:33" x14ac:dyDescent="0.25">
      <c r="A248" s="77"/>
      <c r="B248" s="78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7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</row>
    <row r="249" spans="1:33" x14ac:dyDescent="0.25">
      <c r="A249" s="77"/>
      <c r="B249" s="78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7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</row>
    <row r="250" spans="1:33" x14ac:dyDescent="0.25">
      <c r="A250" s="77"/>
      <c r="B250" s="78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77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1:33" x14ac:dyDescent="0.25">
      <c r="A251" s="77"/>
      <c r="B251" s="78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7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</row>
    <row r="252" spans="1:33" x14ac:dyDescent="0.25">
      <c r="A252" s="77"/>
      <c r="B252" s="78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7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</row>
    <row r="253" spans="1:33" x14ac:dyDescent="0.25">
      <c r="A253" s="77"/>
      <c r="B253" s="78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7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</row>
    <row r="254" spans="1:33" x14ac:dyDescent="0.25">
      <c r="A254" s="77"/>
      <c r="B254" s="78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7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</row>
    <row r="255" spans="1:33" x14ac:dyDescent="0.25">
      <c r="A255" s="77"/>
      <c r="B255" s="78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7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1:33" x14ac:dyDescent="0.25">
      <c r="A256" s="77"/>
      <c r="B256" s="78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7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1:33" x14ac:dyDescent="0.25">
      <c r="A257" s="77"/>
      <c r="B257" s="78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7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</row>
    <row r="258" spans="1:33" x14ac:dyDescent="0.25">
      <c r="A258" s="77"/>
      <c r="B258" s="78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7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</row>
    <row r="259" spans="1:33" x14ac:dyDescent="0.25">
      <c r="A259" s="77"/>
      <c r="B259" s="78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7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</row>
    <row r="260" spans="1:33" x14ac:dyDescent="0.25">
      <c r="A260" s="77"/>
      <c r="B260" s="78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7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</row>
    <row r="261" spans="1:33" x14ac:dyDescent="0.25">
      <c r="A261" s="77"/>
      <c r="B261" s="78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7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</row>
    <row r="262" spans="1:33" x14ac:dyDescent="0.25">
      <c r="A262" s="77"/>
      <c r="B262" s="78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7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</row>
    <row r="263" spans="1:33" x14ac:dyDescent="0.25">
      <c r="A263" s="77"/>
      <c r="B263" s="78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7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</row>
    <row r="264" spans="1:33" x14ac:dyDescent="0.25">
      <c r="A264" s="77"/>
      <c r="B264" s="78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7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1:33" x14ac:dyDescent="0.25">
      <c r="A265" s="77"/>
      <c r="B265" s="78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7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1:33" x14ac:dyDescent="0.25">
      <c r="A266" s="77"/>
      <c r="B266" s="78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7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</row>
    <row r="267" spans="1:33" x14ac:dyDescent="0.25">
      <c r="A267" s="77"/>
      <c r="B267" s="78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7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</row>
    <row r="268" spans="1:33" x14ac:dyDescent="0.25">
      <c r="A268" s="77"/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7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</row>
    <row r="269" spans="1:33" x14ac:dyDescent="0.25">
      <c r="A269" s="77"/>
      <c r="B269" s="78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7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1:33" x14ac:dyDescent="0.25">
      <c r="A270" s="77"/>
      <c r="B270" s="78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7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</row>
    <row r="271" spans="1:33" x14ac:dyDescent="0.25">
      <c r="A271" s="77"/>
      <c r="B271" s="78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7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</row>
    <row r="272" spans="1:33" x14ac:dyDescent="0.25">
      <c r="A272" s="77"/>
      <c r="B272" s="78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7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</row>
    <row r="273" spans="1:33" x14ac:dyDescent="0.25">
      <c r="A273" s="77"/>
      <c r="B273" s="78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7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</row>
    <row r="274" spans="1:33" x14ac:dyDescent="0.25">
      <c r="A274" s="77"/>
      <c r="B274" s="78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7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1:33" x14ac:dyDescent="0.25">
      <c r="A275" s="77"/>
      <c r="B275" s="78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7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</row>
    <row r="276" spans="1:33" x14ac:dyDescent="0.25">
      <c r="A276" s="77"/>
      <c r="B276" s="78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7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1:33" x14ac:dyDescent="0.25">
      <c r="A277" s="77"/>
      <c r="B277" s="78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7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1:33" x14ac:dyDescent="0.25">
      <c r="A278" s="77"/>
      <c r="B278" s="78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7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1:33" x14ac:dyDescent="0.25">
      <c r="A279" s="77"/>
      <c r="B279" s="78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7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1:33" x14ac:dyDescent="0.25">
      <c r="A280" s="77"/>
      <c r="B280" s="78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7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1:33" x14ac:dyDescent="0.25">
      <c r="A281" s="77"/>
      <c r="B281" s="78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7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1:33" x14ac:dyDescent="0.25">
      <c r="A282" s="77"/>
      <c r="B282" s="78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7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1:33" x14ac:dyDescent="0.25">
      <c r="A283" s="77"/>
      <c r="B283" s="78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7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1:33" x14ac:dyDescent="0.25">
      <c r="A284" s="77"/>
      <c r="B284" s="78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7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1:33" x14ac:dyDescent="0.25">
      <c r="A285" s="77"/>
      <c r="B285" s="78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7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1:33" x14ac:dyDescent="0.25">
      <c r="A286" s="77"/>
      <c r="B286" s="78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7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1:33" x14ac:dyDescent="0.25">
      <c r="A287" s="77"/>
      <c r="B287" s="78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7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1:33" x14ac:dyDescent="0.25">
      <c r="A288" s="77"/>
      <c r="B288" s="78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7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1:33" x14ac:dyDescent="0.25">
      <c r="A289" s="77"/>
      <c r="B289" s="78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7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1:33" x14ac:dyDescent="0.25">
      <c r="A290" s="77"/>
      <c r="B290" s="78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7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1:33" x14ac:dyDescent="0.25">
      <c r="A291" s="77"/>
      <c r="B291" s="78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7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1:33" x14ac:dyDescent="0.25">
      <c r="A292" s="77"/>
      <c r="B292" s="78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7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1:33" x14ac:dyDescent="0.25">
      <c r="A293" s="77"/>
      <c r="B293" s="78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7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1:33" x14ac:dyDescent="0.25">
      <c r="A294" s="77"/>
      <c r="B294" s="78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7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1:33" x14ac:dyDescent="0.25">
      <c r="A295" s="77"/>
      <c r="B295" s="78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7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1:33" x14ac:dyDescent="0.25">
      <c r="A296" s="77"/>
      <c r="B296" s="78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7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1:33" x14ac:dyDescent="0.25">
      <c r="A297" s="77"/>
      <c r="B297" s="78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7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1:33" x14ac:dyDescent="0.25">
      <c r="A298" s="77"/>
      <c r="B298" s="78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7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1:33" x14ac:dyDescent="0.25">
      <c r="A299" s="77"/>
      <c r="B299" s="78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7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1:33" x14ac:dyDescent="0.25">
      <c r="A300" s="77"/>
      <c r="B300" s="78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7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1:33" x14ac:dyDescent="0.25">
      <c r="A301" s="77"/>
      <c r="B301" s="78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7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1:33" x14ac:dyDescent="0.25">
      <c r="A302" s="77"/>
      <c r="B302" s="78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7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1:33" x14ac:dyDescent="0.25">
      <c r="A303" s="77"/>
      <c r="B303" s="78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7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1:33" x14ac:dyDescent="0.25">
      <c r="A304" s="77"/>
      <c r="B304" s="78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7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1:33" x14ac:dyDescent="0.25">
      <c r="A305" s="77"/>
      <c r="B305" s="78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7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1:33" x14ac:dyDescent="0.25">
      <c r="A306" s="77"/>
      <c r="B306" s="78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7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1:33" x14ac:dyDescent="0.25">
      <c r="A307" s="77"/>
      <c r="B307" s="78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7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1:33" x14ac:dyDescent="0.25">
      <c r="A308" s="77"/>
      <c r="B308" s="78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7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1:33" x14ac:dyDescent="0.25">
      <c r="A309" s="77"/>
      <c r="B309" s="78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7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1:33" x14ac:dyDescent="0.25">
      <c r="A310" s="77"/>
      <c r="B310" s="78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7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1:33" x14ac:dyDescent="0.25">
      <c r="A311" s="77"/>
      <c r="B311" s="78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7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1:33" x14ac:dyDescent="0.25">
      <c r="A312" s="77"/>
      <c r="B312" s="78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7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1:33" x14ac:dyDescent="0.25">
      <c r="A313" s="77"/>
      <c r="B313" s="78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7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1:33" x14ac:dyDescent="0.25">
      <c r="A314" s="77"/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7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1:33" x14ac:dyDescent="0.25">
      <c r="A315" s="77"/>
      <c r="B315" s="78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7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1:33" x14ac:dyDescent="0.25">
      <c r="A316" s="77"/>
      <c r="B316" s="78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7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1:33" x14ac:dyDescent="0.25">
      <c r="A317" s="77"/>
      <c r="B317" s="78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7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1:33" x14ac:dyDescent="0.25">
      <c r="A318" s="77"/>
      <c r="B318" s="78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7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1:33" x14ac:dyDescent="0.25">
      <c r="A319" s="77"/>
      <c r="B319" s="78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7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1:33" x14ac:dyDescent="0.25">
      <c r="A320" s="77"/>
      <c r="B320" s="78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7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1:33" x14ac:dyDescent="0.25">
      <c r="A321" s="77"/>
      <c r="B321" s="78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7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1:33" x14ac:dyDescent="0.25">
      <c r="A322" s="77"/>
      <c r="B322" s="78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7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1:33" x14ac:dyDescent="0.25">
      <c r="A323" s="77"/>
      <c r="B323" s="78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7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1:33" x14ac:dyDescent="0.25">
      <c r="A324" s="77"/>
      <c r="B324" s="78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7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1:33" x14ac:dyDescent="0.25">
      <c r="A325" s="77"/>
      <c r="B325" s="78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7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1:33" x14ac:dyDescent="0.25">
      <c r="A326" s="77"/>
      <c r="B326" s="78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7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1:33" x14ac:dyDescent="0.25">
      <c r="A327" s="77"/>
      <c r="B327" s="78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7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1:33" x14ac:dyDescent="0.25">
      <c r="A328" s="77"/>
      <c r="B328" s="78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7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1:33" x14ac:dyDescent="0.25">
      <c r="A329" s="77"/>
      <c r="B329" s="78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7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1:33" x14ac:dyDescent="0.25">
      <c r="A330" s="77"/>
      <c r="B330" s="78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7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1:33" x14ac:dyDescent="0.25">
      <c r="A331" s="77"/>
      <c r="B331" s="78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7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1:33" x14ac:dyDescent="0.25">
      <c r="A332" s="77"/>
      <c r="B332" s="78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7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1:33" x14ac:dyDescent="0.25">
      <c r="A333" s="77"/>
      <c r="B333" s="78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7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1:33" x14ac:dyDescent="0.25">
      <c r="A334" s="77"/>
      <c r="B334" s="78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7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</row>
    <row r="335" spans="1:33" x14ac:dyDescent="0.25">
      <c r="A335" s="77"/>
      <c r="B335" s="78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7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</row>
    <row r="336" spans="1:33" x14ac:dyDescent="0.25">
      <c r="A336" s="77"/>
      <c r="B336" s="78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7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</row>
    <row r="337" spans="1:33" x14ac:dyDescent="0.25">
      <c r="A337" s="77"/>
      <c r="B337" s="78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7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</row>
    <row r="338" spans="1:33" x14ac:dyDescent="0.25">
      <c r="A338" s="77"/>
      <c r="B338" s="78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7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</row>
    <row r="339" spans="1:33" x14ac:dyDescent="0.25">
      <c r="A339" s="77"/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7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</row>
    <row r="340" spans="1:33" x14ac:dyDescent="0.25">
      <c r="A340" s="77"/>
      <c r="B340" s="78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7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</row>
    <row r="341" spans="1:33" x14ac:dyDescent="0.25">
      <c r="A341" s="77"/>
      <c r="B341" s="78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7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</row>
    <row r="342" spans="1:33" x14ac:dyDescent="0.25">
      <c r="A342" s="77"/>
      <c r="B342" s="78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7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</row>
    <row r="343" spans="1:33" x14ac:dyDescent="0.25">
      <c r="A343" s="77"/>
      <c r="B343" s="78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7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</row>
    <row r="344" spans="1:33" x14ac:dyDescent="0.25">
      <c r="A344" s="77"/>
      <c r="B344" s="78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7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</row>
    <row r="345" spans="1:33" x14ac:dyDescent="0.25">
      <c r="A345" s="77"/>
      <c r="B345" s="78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7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</row>
    <row r="346" spans="1:33" x14ac:dyDescent="0.25">
      <c r="A346" s="77"/>
      <c r="B346" s="78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7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</row>
    <row r="347" spans="1:33" x14ac:dyDescent="0.25">
      <c r="A347" s="77"/>
      <c r="B347" s="78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7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</row>
    <row r="348" spans="1:33" x14ac:dyDescent="0.25">
      <c r="A348" s="77"/>
      <c r="B348" s="78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7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</row>
    <row r="349" spans="1:33" x14ac:dyDescent="0.25">
      <c r="A349" s="77"/>
      <c r="B349" s="78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7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</row>
    <row r="350" spans="1:33" x14ac:dyDescent="0.25">
      <c r="A350" s="77"/>
      <c r="B350" s="78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7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</row>
    <row r="351" spans="1:33" x14ac:dyDescent="0.25">
      <c r="A351" s="77"/>
      <c r="B351" s="78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7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</row>
    <row r="352" spans="1:33" x14ac:dyDescent="0.25">
      <c r="A352" s="77"/>
      <c r="B352" s="78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7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</row>
    <row r="353" spans="1:33" x14ac:dyDescent="0.25">
      <c r="A353" s="77"/>
      <c r="B353" s="78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7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</row>
    <row r="354" spans="1:33" x14ac:dyDescent="0.25">
      <c r="A354" s="77"/>
      <c r="B354" s="78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7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</row>
    <row r="355" spans="1:33" x14ac:dyDescent="0.25">
      <c r="A355" s="77"/>
      <c r="B355" s="78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7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</row>
    <row r="356" spans="1:33" x14ac:dyDescent="0.25">
      <c r="A356" s="77"/>
      <c r="B356" s="78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7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</row>
    <row r="357" spans="1:33" x14ac:dyDescent="0.25">
      <c r="A357" s="77"/>
      <c r="B357" s="78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7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</row>
    <row r="358" spans="1:33" x14ac:dyDescent="0.25">
      <c r="A358" s="77"/>
      <c r="B358" s="78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7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</row>
    <row r="359" spans="1:33" x14ac:dyDescent="0.25">
      <c r="A359" s="77"/>
      <c r="B359" s="78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7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</row>
    <row r="360" spans="1:33" x14ac:dyDescent="0.25">
      <c r="A360" s="77"/>
      <c r="B360" s="78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7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</row>
    <row r="361" spans="1:33" x14ac:dyDescent="0.25">
      <c r="A361" s="77"/>
      <c r="B361" s="78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7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</row>
    <row r="362" spans="1:33" x14ac:dyDescent="0.25">
      <c r="A362" s="77"/>
      <c r="B362" s="78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7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</row>
    <row r="363" spans="1:33" x14ac:dyDescent="0.25">
      <c r="A363" s="77"/>
      <c r="B363" s="78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7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</row>
    <row r="364" spans="1:33" x14ac:dyDescent="0.25">
      <c r="A364" s="77"/>
      <c r="B364" s="78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7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</row>
    <row r="365" spans="1:33" x14ac:dyDescent="0.25">
      <c r="A365" s="77"/>
      <c r="B365" s="78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7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</row>
    <row r="366" spans="1:33" x14ac:dyDescent="0.25">
      <c r="A366" s="77"/>
      <c r="B366" s="78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7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</row>
    <row r="367" spans="1:33" x14ac:dyDescent="0.25">
      <c r="A367" s="77"/>
      <c r="B367" s="78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7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</row>
    <row r="368" spans="1:33" x14ac:dyDescent="0.25">
      <c r="A368" s="77"/>
      <c r="B368" s="78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7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</row>
    <row r="369" spans="1:33" x14ac:dyDescent="0.25">
      <c r="A369" s="77"/>
      <c r="B369" s="78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7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</row>
    <row r="370" spans="1:33" x14ac:dyDescent="0.25">
      <c r="A370" s="77"/>
      <c r="B370" s="78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7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</row>
    <row r="371" spans="1:33" x14ac:dyDescent="0.25">
      <c r="A371" s="77"/>
      <c r="B371" s="78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7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</row>
    <row r="372" spans="1:33" x14ac:dyDescent="0.25">
      <c r="A372" s="77"/>
      <c r="B372" s="78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7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</row>
    <row r="373" spans="1:33" x14ac:dyDescent="0.25">
      <c r="A373" s="77"/>
      <c r="B373" s="78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7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</row>
    <row r="374" spans="1:33" x14ac:dyDescent="0.25">
      <c r="A374" s="77"/>
      <c r="B374" s="78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7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</row>
    <row r="375" spans="1:33" x14ac:dyDescent="0.25">
      <c r="A375" s="77"/>
      <c r="B375" s="78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7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</row>
    <row r="376" spans="1:33" x14ac:dyDescent="0.25">
      <c r="A376" s="77"/>
      <c r="B376" s="78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7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</row>
    <row r="377" spans="1:33" x14ac:dyDescent="0.25">
      <c r="A377" s="77"/>
      <c r="B377" s="78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7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</row>
    <row r="378" spans="1:33" x14ac:dyDescent="0.25">
      <c r="A378" s="77"/>
      <c r="B378" s="78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7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</row>
    <row r="379" spans="1:33" x14ac:dyDescent="0.25">
      <c r="A379" s="77"/>
      <c r="B379" s="78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7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</row>
    <row r="380" spans="1:33" x14ac:dyDescent="0.25">
      <c r="A380" s="77"/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7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</row>
    <row r="381" spans="1:33" x14ac:dyDescent="0.25">
      <c r="A381" s="77"/>
      <c r="B381" s="78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7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</row>
    <row r="382" spans="1:33" x14ac:dyDescent="0.25">
      <c r="A382" s="77"/>
      <c r="B382" s="78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7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</row>
    <row r="383" spans="1:33" x14ac:dyDescent="0.25">
      <c r="A383" s="77"/>
      <c r="B383" s="78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7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</row>
    <row r="384" spans="1:33" x14ac:dyDescent="0.25">
      <c r="A384" s="77"/>
      <c r="B384" s="78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7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</row>
    <row r="385" spans="1:33" x14ac:dyDescent="0.25">
      <c r="A385" s="77"/>
      <c r="B385" s="78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7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</row>
    <row r="386" spans="1:33" x14ac:dyDescent="0.25">
      <c r="A386" s="77"/>
      <c r="B386" s="78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7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</row>
    <row r="387" spans="1:33" x14ac:dyDescent="0.25">
      <c r="A387" s="77"/>
      <c r="B387" s="78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7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</row>
    <row r="388" spans="1:33" x14ac:dyDescent="0.25">
      <c r="A388" s="77"/>
      <c r="B388" s="78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7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</row>
    <row r="389" spans="1:33" x14ac:dyDescent="0.25">
      <c r="A389" s="77"/>
      <c r="B389" s="78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7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</row>
    <row r="390" spans="1:33" x14ac:dyDescent="0.25">
      <c r="A390" s="77"/>
      <c r="B390" s="78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7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</row>
    <row r="391" spans="1:33" x14ac:dyDescent="0.25">
      <c r="A391" s="77"/>
      <c r="B391" s="78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7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</row>
    <row r="392" spans="1:33" x14ac:dyDescent="0.25">
      <c r="A392" s="77"/>
      <c r="B392" s="78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7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</row>
    <row r="393" spans="1:33" x14ac:dyDescent="0.25">
      <c r="A393" s="77"/>
      <c r="B393" s="78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7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</row>
    <row r="394" spans="1:33" x14ac:dyDescent="0.25">
      <c r="A394" s="77"/>
      <c r="B394" s="78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7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</row>
    <row r="395" spans="1:33" x14ac:dyDescent="0.25">
      <c r="A395" s="77"/>
      <c r="B395" s="78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7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</row>
    <row r="396" spans="1:33" x14ac:dyDescent="0.25">
      <c r="A396" s="77"/>
      <c r="B396" s="78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7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</row>
    <row r="397" spans="1:33" x14ac:dyDescent="0.25">
      <c r="A397" s="77"/>
      <c r="B397" s="78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7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</row>
    <row r="398" spans="1:33" x14ac:dyDescent="0.25">
      <c r="A398" s="77"/>
      <c r="B398" s="78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7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</row>
    <row r="399" spans="1:33" x14ac:dyDescent="0.25">
      <c r="A399" s="77"/>
      <c r="B399" s="78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7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</row>
    <row r="400" spans="1:33" x14ac:dyDescent="0.25">
      <c r="A400" s="77"/>
      <c r="B400" s="78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7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</row>
    <row r="401" spans="1:33" x14ac:dyDescent="0.25">
      <c r="A401" s="77"/>
      <c r="B401" s="78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7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</row>
    <row r="402" spans="1:33" x14ac:dyDescent="0.25">
      <c r="A402" s="77"/>
      <c r="B402" s="78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7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</row>
    <row r="403" spans="1:33" x14ac:dyDescent="0.25">
      <c r="A403" s="77"/>
      <c r="B403" s="78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7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</row>
    <row r="404" spans="1:33" x14ac:dyDescent="0.25">
      <c r="A404" s="77"/>
      <c r="B404" s="78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7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</row>
    <row r="405" spans="1:33" x14ac:dyDescent="0.25">
      <c r="A405" s="77"/>
      <c r="B405" s="78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7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</row>
    <row r="406" spans="1:33" x14ac:dyDescent="0.25">
      <c r="A406" s="77"/>
      <c r="B406" s="78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7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</row>
    <row r="407" spans="1:33" x14ac:dyDescent="0.25">
      <c r="A407" s="77"/>
      <c r="B407" s="78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7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</row>
    <row r="408" spans="1:33" x14ac:dyDescent="0.25">
      <c r="A408" s="77"/>
      <c r="B408" s="78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7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</row>
    <row r="409" spans="1:33" x14ac:dyDescent="0.25">
      <c r="A409" s="77"/>
      <c r="B409" s="78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7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</row>
    <row r="410" spans="1:33" x14ac:dyDescent="0.25">
      <c r="A410" s="77"/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7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</row>
    <row r="411" spans="1:33" x14ac:dyDescent="0.25">
      <c r="A411" s="77"/>
      <c r="B411" s="78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7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</row>
    <row r="412" spans="1:33" x14ac:dyDescent="0.25">
      <c r="A412" s="77"/>
      <c r="B412" s="78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7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</row>
    <row r="413" spans="1:33" x14ac:dyDescent="0.25">
      <c r="A413" s="77"/>
      <c r="B413" s="78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7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</row>
    <row r="414" spans="1:33" x14ac:dyDescent="0.25">
      <c r="A414" s="77"/>
      <c r="B414" s="78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7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</row>
    <row r="415" spans="1:33" x14ac:dyDescent="0.25">
      <c r="A415" s="77"/>
      <c r="B415" s="78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7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</row>
    <row r="416" spans="1:33" x14ac:dyDescent="0.25">
      <c r="A416" s="77"/>
      <c r="B416" s="78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7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</row>
    <row r="417" spans="1:33" x14ac:dyDescent="0.25">
      <c r="A417" s="77"/>
      <c r="B417" s="78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7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</row>
    <row r="418" spans="1:33" x14ac:dyDescent="0.25">
      <c r="A418" s="77"/>
      <c r="B418" s="78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7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</row>
    <row r="419" spans="1:33" x14ac:dyDescent="0.25">
      <c r="A419" s="77"/>
      <c r="B419" s="78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7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</row>
    <row r="420" spans="1:33" x14ac:dyDescent="0.25">
      <c r="A420" s="77"/>
      <c r="B420" s="78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7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</row>
    <row r="421" spans="1:33" x14ac:dyDescent="0.25">
      <c r="A421" s="77"/>
      <c r="B421" s="78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7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</row>
    <row r="422" spans="1:33" x14ac:dyDescent="0.25">
      <c r="A422" s="77"/>
      <c r="B422" s="78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7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</row>
    <row r="423" spans="1:33" x14ac:dyDescent="0.25">
      <c r="A423" s="77"/>
      <c r="B423" s="78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7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</row>
    <row r="424" spans="1:33" x14ac:dyDescent="0.25">
      <c r="A424" s="77"/>
      <c r="B424" s="78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7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</row>
    <row r="425" spans="1:33" x14ac:dyDescent="0.25">
      <c r="A425" s="77"/>
      <c r="B425" s="78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7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</row>
    <row r="426" spans="1:33" x14ac:dyDescent="0.25">
      <c r="A426" s="77"/>
      <c r="B426" s="78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7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</row>
    <row r="427" spans="1:33" x14ac:dyDescent="0.25">
      <c r="A427" s="77"/>
      <c r="B427" s="78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7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</row>
    <row r="428" spans="1:33" x14ac:dyDescent="0.25">
      <c r="A428" s="77"/>
      <c r="B428" s="78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7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</row>
    <row r="429" spans="1:33" x14ac:dyDescent="0.25">
      <c r="A429" s="77"/>
      <c r="B429" s="78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7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</row>
    <row r="430" spans="1:33" x14ac:dyDescent="0.25">
      <c r="A430" s="77"/>
      <c r="B430" s="78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7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</row>
    <row r="431" spans="1:33" x14ac:dyDescent="0.25">
      <c r="A431" s="77"/>
      <c r="B431" s="78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7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</row>
    <row r="432" spans="1:33" x14ac:dyDescent="0.25">
      <c r="A432" s="77"/>
      <c r="B432" s="78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7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</row>
    <row r="433" spans="1:33" x14ac:dyDescent="0.25">
      <c r="A433" s="77"/>
      <c r="B433" s="78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7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</row>
    <row r="434" spans="1:33" x14ac:dyDescent="0.25">
      <c r="A434" s="77"/>
      <c r="B434" s="78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7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</row>
    <row r="435" spans="1:33" x14ac:dyDescent="0.25">
      <c r="A435" s="77"/>
      <c r="B435" s="78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7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</row>
    <row r="436" spans="1:33" x14ac:dyDescent="0.25">
      <c r="A436" s="77"/>
      <c r="B436" s="78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7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</row>
    <row r="437" spans="1:33" x14ac:dyDescent="0.25">
      <c r="A437" s="77"/>
      <c r="B437" s="78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7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</row>
    <row r="438" spans="1:33" x14ac:dyDescent="0.25">
      <c r="A438" s="77"/>
      <c r="B438" s="78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7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</row>
    <row r="439" spans="1:33" x14ac:dyDescent="0.25">
      <c r="A439" s="77"/>
      <c r="B439" s="78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7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</row>
    <row r="440" spans="1:33" x14ac:dyDescent="0.25">
      <c r="A440" s="77"/>
      <c r="B440" s="78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7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</row>
    <row r="441" spans="1:33" x14ac:dyDescent="0.25">
      <c r="A441" s="77"/>
      <c r="B441" s="78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7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</row>
    <row r="442" spans="1:33" x14ac:dyDescent="0.25">
      <c r="A442" s="77"/>
      <c r="B442" s="78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7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</row>
    <row r="443" spans="1:33" x14ac:dyDescent="0.25">
      <c r="A443" s="77"/>
      <c r="B443" s="78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7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</row>
    <row r="444" spans="1:33" x14ac:dyDescent="0.25">
      <c r="A444" s="77"/>
      <c r="B444" s="78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7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</row>
    <row r="445" spans="1:33" x14ac:dyDescent="0.25">
      <c r="A445" s="77"/>
      <c r="B445" s="78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7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</row>
    <row r="446" spans="1:33" x14ac:dyDescent="0.25">
      <c r="A446" s="77"/>
      <c r="B446" s="78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7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</row>
    <row r="447" spans="1:33" x14ac:dyDescent="0.25">
      <c r="A447" s="77"/>
      <c r="B447" s="78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7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</row>
    <row r="448" spans="1:33" x14ac:dyDescent="0.25">
      <c r="A448" s="77"/>
      <c r="B448" s="78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7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</row>
    <row r="449" spans="1:33" x14ac:dyDescent="0.25">
      <c r="A449" s="77"/>
      <c r="B449" s="78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7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</row>
    <row r="450" spans="1:33" x14ac:dyDescent="0.25">
      <c r="A450" s="77"/>
      <c r="B450" s="78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7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</row>
    <row r="451" spans="1:33" x14ac:dyDescent="0.25">
      <c r="A451" s="77"/>
      <c r="B451" s="78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7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</row>
    <row r="452" spans="1:33" x14ac:dyDescent="0.25">
      <c r="A452" s="77"/>
      <c r="B452" s="78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7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</row>
    <row r="453" spans="1:33" x14ac:dyDescent="0.25">
      <c r="A453" s="77"/>
      <c r="B453" s="78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7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</row>
    <row r="454" spans="1:33" x14ac:dyDescent="0.25">
      <c r="A454" s="77"/>
      <c r="B454" s="78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7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</row>
    <row r="455" spans="1:33" x14ac:dyDescent="0.25">
      <c r="A455" s="77"/>
      <c r="B455" s="78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7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</row>
    <row r="456" spans="1:33" x14ac:dyDescent="0.25">
      <c r="A456" s="77"/>
      <c r="B456" s="78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7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</row>
    <row r="457" spans="1:33" x14ac:dyDescent="0.25">
      <c r="A457" s="77"/>
      <c r="B457" s="78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7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</row>
    <row r="458" spans="1:33" x14ac:dyDescent="0.25">
      <c r="A458" s="77"/>
      <c r="B458" s="78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7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</row>
    <row r="459" spans="1:33" x14ac:dyDescent="0.25">
      <c r="A459" s="77"/>
      <c r="B459" s="78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7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</row>
    <row r="460" spans="1:33" x14ac:dyDescent="0.25">
      <c r="A460" s="77"/>
      <c r="B460" s="78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7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</row>
    <row r="461" spans="1:33" x14ac:dyDescent="0.25">
      <c r="A461" s="77"/>
      <c r="B461" s="78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7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</row>
    <row r="462" spans="1:33" x14ac:dyDescent="0.25">
      <c r="A462" s="77"/>
      <c r="B462" s="78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7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</row>
    <row r="463" spans="1:33" x14ac:dyDescent="0.25">
      <c r="A463" s="77"/>
      <c r="B463" s="78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7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</row>
    <row r="464" spans="1:33" x14ac:dyDescent="0.25">
      <c r="A464" s="77"/>
      <c r="B464" s="78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7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</row>
    <row r="465" spans="1:33" x14ac:dyDescent="0.25">
      <c r="A465" s="77"/>
      <c r="B465" s="78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7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</row>
    <row r="466" spans="1:33" x14ac:dyDescent="0.25">
      <c r="A466" s="77"/>
      <c r="B466" s="78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7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</row>
    <row r="467" spans="1:33" x14ac:dyDescent="0.25">
      <c r="A467" s="77"/>
      <c r="B467" s="78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7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</row>
    <row r="468" spans="1:33" x14ac:dyDescent="0.25">
      <c r="A468" s="77"/>
      <c r="B468" s="78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7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</row>
    <row r="469" spans="1:33" x14ac:dyDescent="0.25">
      <c r="A469" s="77"/>
      <c r="B469" s="78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7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</row>
    <row r="470" spans="1:33" x14ac:dyDescent="0.25">
      <c r="A470" s="77"/>
      <c r="B470" s="78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7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</row>
    <row r="471" spans="1:33" x14ac:dyDescent="0.25">
      <c r="A471" s="77"/>
      <c r="B471" s="78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7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</row>
    <row r="472" spans="1:33" x14ac:dyDescent="0.25">
      <c r="A472" s="77"/>
      <c r="B472" s="78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7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</row>
    <row r="473" spans="1:33" x14ac:dyDescent="0.25">
      <c r="A473" s="77"/>
      <c r="B473" s="78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7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</row>
    <row r="474" spans="1:33" x14ac:dyDescent="0.25">
      <c r="A474" s="77"/>
      <c r="B474" s="78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7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</row>
    <row r="475" spans="1:33" x14ac:dyDescent="0.25">
      <c r="A475" s="77"/>
      <c r="B475" s="78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7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</row>
    <row r="476" spans="1:33" x14ac:dyDescent="0.25">
      <c r="A476" s="77"/>
      <c r="B476" s="78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7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</row>
    <row r="477" spans="1:33" x14ac:dyDescent="0.25">
      <c r="A477" s="77"/>
      <c r="B477" s="78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7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</row>
    <row r="478" spans="1:33" x14ac:dyDescent="0.25">
      <c r="A478" s="77"/>
      <c r="B478" s="78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7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</row>
    <row r="479" spans="1:33" x14ac:dyDescent="0.25">
      <c r="A479" s="77"/>
      <c r="B479" s="78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7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</row>
    <row r="480" spans="1:33" x14ac:dyDescent="0.25">
      <c r="A480" s="77"/>
      <c r="B480" s="78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7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</row>
    <row r="481" spans="1:33" x14ac:dyDescent="0.25">
      <c r="A481" s="77"/>
      <c r="B481" s="78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7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</row>
    <row r="482" spans="1:33" x14ac:dyDescent="0.25">
      <c r="A482" s="77"/>
      <c r="B482" s="78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7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</row>
    <row r="483" spans="1:33" x14ac:dyDescent="0.25">
      <c r="A483" s="77"/>
      <c r="B483" s="78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7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</row>
    <row r="484" spans="1:33" x14ac:dyDescent="0.25">
      <c r="A484" s="77"/>
      <c r="B484" s="78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7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</row>
    <row r="485" spans="1:33" x14ac:dyDescent="0.25">
      <c r="A485" s="77"/>
      <c r="B485" s="78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7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</row>
    <row r="486" spans="1:33" x14ac:dyDescent="0.25">
      <c r="A486" s="77"/>
      <c r="B486" s="78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7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</row>
    <row r="487" spans="1:33" x14ac:dyDescent="0.25">
      <c r="A487" s="77"/>
      <c r="B487" s="78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7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</row>
    <row r="488" spans="1:33" x14ac:dyDescent="0.25">
      <c r="A488" s="77"/>
      <c r="B488" s="78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7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</row>
    <row r="489" spans="1:33" x14ac:dyDescent="0.25">
      <c r="A489" s="77"/>
      <c r="B489" s="78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7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</row>
    <row r="490" spans="1:33" x14ac:dyDescent="0.25">
      <c r="A490" s="77"/>
      <c r="B490" s="78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7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</row>
    <row r="491" spans="1:33" x14ac:dyDescent="0.25">
      <c r="A491" s="77"/>
      <c r="B491" s="78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7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</row>
    <row r="492" spans="1:33" x14ac:dyDescent="0.25">
      <c r="A492" s="77"/>
      <c r="B492" s="78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7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</row>
    <row r="493" spans="1:33" x14ac:dyDescent="0.25">
      <c r="A493" s="77"/>
      <c r="B493" s="78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7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</row>
    <row r="494" spans="1:33" x14ac:dyDescent="0.25">
      <c r="A494" s="77"/>
      <c r="B494" s="78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7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</row>
    <row r="495" spans="1:33" x14ac:dyDescent="0.25">
      <c r="A495" s="77"/>
      <c r="B495" s="78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7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</row>
    <row r="496" spans="1:33" x14ac:dyDescent="0.25">
      <c r="A496" s="77"/>
      <c r="B496" s="78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7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</row>
    <row r="497" spans="1:33" x14ac:dyDescent="0.25">
      <c r="A497" s="77"/>
      <c r="B497" s="78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7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</row>
    <row r="498" spans="1:33" x14ac:dyDescent="0.25">
      <c r="A498" s="77"/>
      <c r="B498" s="78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7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</row>
    <row r="499" spans="1:33" x14ac:dyDescent="0.25">
      <c r="A499" s="77"/>
      <c r="B499" s="78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7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</row>
    <row r="500" spans="1:33" x14ac:dyDescent="0.25">
      <c r="A500" s="77"/>
      <c r="B500" s="78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7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</row>
    <row r="501" spans="1:33" x14ac:dyDescent="0.25">
      <c r="A501" s="77"/>
      <c r="B501" s="78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7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</row>
    <row r="502" spans="1:33" x14ac:dyDescent="0.25">
      <c r="A502" s="77"/>
      <c r="B502" s="78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7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</row>
    <row r="503" spans="1:33" x14ac:dyDescent="0.25">
      <c r="A503" s="77"/>
      <c r="B503" s="78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7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</row>
    <row r="504" spans="1:33" x14ac:dyDescent="0.25">
      <c r="A504" s="77"/>
      <c r="B504" s="78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7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</row>
    <row r="505" spans="1:33" x14ac:dyDescent="0.25">
      <c r="A505" s="77"/>
      <c r="B505" s="78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7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</row>
    <row r="506" spans="1:33" x14ac:dyDescent="0.25">
      <c r="A506" s="77"/>
      <c r="B506" s="78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7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</row>
    <row r="507" spans="1:33" x14ac:dyDescent="0.25">
      <c r="A507" s="77"/>
      <c r="B507" s="78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7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</row>
    <row r="508" spans="1:33" x14ac:dyDescent="0.25">
      <c r="A508" s="77"/>
      <c r="B508" s="78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7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</row>
    <row r="509" spans="1:33" x14ac:dyDescent="0.25">
      <c r="A509" s="77"/>
      <c r="B509" s="78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7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</row>
    <row r="510" spans="1:33" x14ac:dyDescent="0.25">
      <c r="A510" s="77"/>
      <c r="B510" s="78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7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</row>
    <row r="511" spans="1:33" x14ac:dyDescent="0.25">
      <c r="A511" s="77"/>
      <c r="B511" s="78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7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</row>
    <row r="512" spans="1:33" x14ac:dyDescent="0.25">
      <c r="A512" s="77"/>
      <c r="B512" s="78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7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</row>
    <row r="513" spans="1:33" x14ac:dyDescent="0.25">
      <c r="A513" s="77"/>
      <c r="B513" s="78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7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</row>
    <row r="514" spans="1:33" x14ac:dyDescent="0.25">
      <c r="A514" s="77"/>
      <c r="B514" s="78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7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</row>
    <row r="515" spans="1:33" x14ac:dyDescent="0.25">
      <c r="A515" s="77"/>
      <c r="B515" s="78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7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</row>
    <row r="516" spans="1:33" x14ac:dyDescent="0.25">
      <c r="A516" s="77"/>
      <c r="B516" s="78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7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</row>
    <row r="517" spans="1:33" x14ac:dyDescent="0.25">
      <c r="A517" s="77"/>
      <c r="B517" s="78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7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</row>
    <row r="518" spans="1:33" x14ac:dyDescent="0.25">
      <c r="A518" s="77"/>
      <c r="B518" s="78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7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</row>
    <row r="519" spans="1:33" x14ac:dyDescent="0.25">
      <c r="A519" s="77"/>
      <c r="B519" s="78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7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</row>
    <row r="520" spans="1:33" x14ac:dyDescent="0.25">
      <c r="A520" s="77"/>
      <c r="B520" s="78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7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</row>
    <row r="521" spans="1:33" x14ac:dyDescent="0.25">
      <c r="A521" s="77"/>
      <c r="B521" s="78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7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</row>
    <row r="522" spans="1:33" x14ac:dyDescent="0.25">
      <c r="A522" s="77"/>
      <c r="B522" s="78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7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</row>
    <row r="523" spans="1:33" x14ac:dyDescent="0.25">
      <c r="A523" s="77"/>
      <c r="B523" s="78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7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</row>
    <row r="524" spans="1:33" x14ac:dyDescent="0.25">
      <c r="A524" s="77"/>
      <c r="B524" s="78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7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</row>
    <row r="525" spans="1:33" x14ac:dyDescent="0.25">
      <c r="A525" s="77"/>
      <c r="B525" s="78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7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</row>
    <row r="526" spans="1:33" x14ac:dyDescent="0.25">
      <c r="A526" s="77"/>
      <c r="B526" s="78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7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</row>
    <row r="527" spans="1:33" x14ac:dyDescent="0.25">
      <c r="A527" s="77"/>
      <c r="B527" s="78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7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</row>
    <row r="528" spans="1:33" x14ac:dyDescent="0.25">
      <c r="A528" s="77"/>
      <c r="B528" s="78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7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</row>
    <row r="529" spans="1:33" x14ac:dyDescent="0.25">
      <c r="A529" s="77"/>
      <c r="B529" s="78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7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</row>
    <row r="530" spans="1:33" x14ac:dyDescent="0.25">
      <c r="A530" s="77"/>
      <c r="B530" s="78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7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</row>
    <row r="531" spans="1:33" x14ac:dyDescent="0.25">
      <c r="A531" s="77"/>
      <c r="B531" s="78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7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</row>
    <row r="532" spans="1:33" x14ac:dyDescent="0.25">
      <c r="A532" s="77"/>
      <c r="B532" s="78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7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</row>
    <row r="533" spans="1:33" x14ac:dyDescent="0.25">
      <c r="A533" s="77"/>
      <c r="B533" s="78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7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</row>
    <row r="534" spans="1:33" x14ac:dyDescent="0.25">
      <c r="A534" s="77"/>
      <c r="B534" s="78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7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</row>
    <row r="535" spans="1:33" x14ac:dyDescent="0.25">
      <c r="A535" s="77"/>
      <c r="B535" s="78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7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</row>
    <row r="536" spans="1:33" x14ac:dyDescent="0.25">
      <c r="A536" s="77"/>
      <c r="B536" s="78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7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</row>
    <row r="537" spans="1:33" x14ac:dyDescent="0.25">
      <c r="A537" s="77"/>
      <c r="B537" s="78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7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</row>
    <row r="538" spans="1:33" x14ac:dyDescent="0.25">
      <c r="A538" s="77"/>
      <c r="B538" s="78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7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</row>
    <row r="539" spans="1:33" x14ac:dyDescent="0.25">
      <c r="A539" s="77"/>
      <c r="B539" s="78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7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</row>
    <row r="540" spans="1:33" x14ac:dyDescent="0.25">
      <c r="A540" s="77"/>
      <c r="B540" s="78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7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</row>
    <row r="541" spans="1:33" x14ac:dyDescent="0.25">
      <c r="A541" s="77"/>
      <c r="B541" s="78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7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</row>
    <row r="542" spans="1:33" x14ac:dyDescent="0.25">
      <c r="A542" s="77"/>
      <c r="B542" s="78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7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</row>
    <row r="543" spans="1:33" x14ac:dyDescent="0.25">
      <c r="A543" s="77"/>
      <c r="B543" s="78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7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</row>
    <row r="544" spans="1:33" x14ac:dyDescent="0.25">
      <c r="A544" s="77"/>
      <c r="B544" s="78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7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</row>
    <row r="545" spans="1:33" x14ac:dyDescent="0.25">
      <c r="A545" s="77"/>
      <c r="B545" s="78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7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</row>
    <row r="546" spans="1:33" x14ac:dyDescent="0.25">
      <c r="A546" s="77"/>
      <c r="B546" s="78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7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</row>
    <row r="547" spans="1:33" x14ac:dyDescent="0.25">
      <c r="A547" s="77"/>
      <c r="B547" s="78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7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</row>
    <row r="548" spans="1:33" x14ac:dyDescent="0.25">
      <c r="A548" s="77"/>
      <c r="B548" s="78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7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</row>
    <row r="549" spans="1:33" x14ac:dyDescent="0.25">
      <c r="A549" s="77"/>
      <c r="B549" s="78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7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</row>
    <row r="550" spans="1:33" x14ac:dyDescent="0.25">
      <c r="A550" s="77"/>
      <c r="B550" s="78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7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</row>
    <row r="551" spans="1:33" x14ac:dyDescent="0.25">
      <c r="A551" s="77"/>
      <c r="B551" s="78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7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</row>
    <row r="552" spans="1:33" x14ac:dyDescent="0.25">
      <c r="A552" s="77"/>
      <c r="B552" s="78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7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</row>
    <row r="553" spans="1:33" x14ac:dyDescent="0.25">
      <c r="A553" s="77"/>
      <c r="B553" s="78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7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</row>
    <row r="554" spans="1:33" x14ac:dyDescent="0.25">
      <c r="A554" s="77"/>
      <c r="B554" s="78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7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</row>
    <row r="555" spans="1:33" x14ac:dyDescent="0.25">
      <c r="A555" s="77"/>
      <c r="B555" s="78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7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</row>
    <row r="556" spans="1:33" x14ac:dyDescent="0.25">
      <c r="A556" s="77"/>
      <c r="B556" s="78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7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</row>
    <row r="557" spans="1:33" x14ac:dyDescent="0.25">
      <c r="A557" s="77"/>
      <c r="B557" s="78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7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</row>
    <row r="558" spans="1:33" x14ac:dyDescent="0.25">
      <c r="A558" s="77"/>
      <c r="B558" s="78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7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</row>
    <row r="559" spans="1:33" x14ac:dyDescent="0.25">
      <c r="A559" s="77"/>
      <c r="B559" s="78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7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</row>
    <row r="560" spans="1:33" x14ac:dyDescent="0.25">
      <c r="A560" s="77"/>
      <c r="B560" s="78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7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</row>
    <row r="561" spans="1:33" x14ac:dyDescent="0.25">
      <c r="A561" s="77"/>
      <c r="B561" s="78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7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</row>
    <row r="562" spans="1:33" x14ac:dyDescent="0.25">
      <c r="A562" s="77"/>
      <c r="B562" s="78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7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</row>
    <row r="563" spans="1:33" x14ac:dyDescent="0.25">
      <c r="A563" s="77"/>
      <c r="B563" s="78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7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</row>
    <row r="564" spans="1:33" x14ac:dyDescent="0.25">
      <c r="A564" s="77"/>
      <c r="B564" s="78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7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</row>
    <row r="565" spans="1:33" x14ac:dyDescent="0.25">
      <c r="A565" s="77"/>
      <c r="B565" s="78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7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</row>
    <row r="566" spans="1:33" x14ac:dyDescent="0.25">
      <c r="A566" s="77"/>
      <c r="B566" s="78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7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</row>
    <row r="567" spans="1:33" x14ac:dyDescent="0.25">
      <c r="A567" s="77"/>
      <c r="B567" s="78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7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</row>
    <row r="568" spans="1:33" x14ac:dyDescent="0.25">
      <c r="A568" s="77"/>
      <c r="B568" s="78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7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</row>
    <row r="569" spans="1:33" x14ac:dyDescent="0.25">
      <c r="A569" s="77"/>
      <c r="B569" s="78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7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</row>
    <row r="570" spans="1:33" x14ac:dyDescent="0.25">
      <c r="A570" s="77"/>
      <c r="B570" s="78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7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</row>
    <row r="571" spans="1:33" x14ac:dyDescent="0.25">
      <c r="A571" s="77"/>
      <c r="B571" s="78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7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</row>
    <row r="572" spans="1:33" x14ac:dyDescent="0.25">
      <c r="A572" s="77"/>
      <c r="B572" s="78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7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</row>
    <row r="573" spans="1:33" x14ac:dyDescent="0.25">
      <c r="A573" s="77"/>
      <c r="B573" s="78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7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</row>
    <row r="574" spans="1:33" x14ac:dyDescent="0.25">
      <c r="A574" s="77"/>
      <c r="B574" s="78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7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</row>
    <row r="575" spans="1:33" x14ac:dyDescent="0.25">
      <c r="A575" s="77"/>
      <c r="B575" s="78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7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</row>
    <row r="576" spans="1:33" x14ac:dyDescent="0.25">
      <c r="A576" s="77"/>
      <c r="B576" s="78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7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</row>
    <row r="577" spans="1:33" x14ac:dyDescent="0.25">
      <c r="A577" s="77"/>
      <c r="B577" s="78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7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</row>
    <row r="578" spans="1:33" x14ac:dyDescent="0.25">
      <c r="A578" s="77"/>
      <c r="B578" s="78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7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</row>
    <row r="579" spans="1:33" x14ac:dyDescent="0.25">
      <c r="A579" s="77"/>
      <c r="B579" s="78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7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</row>
    <row r="580" spans="1:33" x14ac:dyDescent="0.25">
      <c r="A580" s="77"/>
      <c r="B580" s="78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7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</row>
    <row r="581" spans="1:33" x14ac:dyDescent="0.25">
      <c r="A581" s="77"/>
      <c r="B581" s="78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7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</row>
    <row r="582" spans="1:33" x14ac:dyDescent="0.25">
      <c r="A582" s="77"/>
      <c r="B582" s="78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7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</row>
    <row r="583" spans="1:33" x14ac:dyDescent="0.25">
      <c r="A583" s="77"/>
      <c r="B583" s="78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7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</row>
    <row r="584" spans="1:33" x14ac:dyDescent="0.25">
      <c r="A584" s="77"/>
      <c r="B584" s="78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7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</row>
    <row r="585" spans="1:33" x14ac:dyDescent="0.25">
      <c r="A585" s="77"/>
      <c r="B585" s="78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7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</row>
    <row r="586" spans="1:33" x14ac:dyDescent="0.25">
      <c r="A586" s="77"/>
      <c r="B586" s="78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7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</row>
    <row r="587" spans="1:33" x14ac:dyDescent="0.25">
      <c r="A587" s="77"/>
      <c r="B587" s="78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7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</row>
    <row r="588" spans="1:33" x14ac:dyDescent="0.25">
      <c r="A588" s="77"/>
      <c r="B588" s="78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7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</row>
    <row r="589" spans="1:33" x14ac:dyDescent="0.25">
      <c r="A589" s="77"/>
      <c r="B589" s="78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7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</row>
    <row r="590" spans="1:33" x14ac:dyDescent="0.25">
      <c r="A590" s="77"/>
      <c r="B590" s="78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7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</row>
    <row r="591" spans="1:33" x14ac:dyDescent="0.25">
      <c r="A591" s="77"/>
      <c r="B591" s="78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7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</row>
    <row r="592" spans="1:33" x14ac:dyDescent="0.25">
      <c r="A592" s="77"/>
      <c r="B592" s="78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7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</row>
    <row r="593" spans="1:33" x14ac:dyDescent="0.25">
      <c r="A593" s="77"/>
      <c r="B593" s="78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7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</row>
    <row r="594" spans="1:33" x14ac:dyDescent="0.25">
      <c r="A594" s="77"/>
      <c r="B594" s="78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7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</row>
    <row r="595" spans="1:33" x14ac:dyDescent="0.25">
      <c r="A595" s="77"/>
      <c r="B595" s="78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7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</row>
    <row r="596" spans="1:33" x14ac:dyDescent="0.25">
      <c r="A596" s="77"/>
      <c r="B596" s="78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7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</row>
    <row r="597" spans="1:33" x14ac:dyDescent="0.25">
      <c r="A597" s="77"/>
      <c r="B597" s="78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7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</row>
    <row r="598" spans="1:33" x14ac:dyDescent="0.25">
      <c r="A598" s="77"/>
      <c r="B598" s="78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7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</row>
    <row r="599" spans="1:33" x14ac:dyDescent="0.25">
      <c r="A599" s="77"/>
      <c r="B599" s="78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7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</row>
    <row r="600" spans="1:33" x14ac:dyDescent="0.25">
      <c r="A600" s="77"/>
      <c r="B600" s="78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7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</row>
    <row r="601" spans="1:33" x14ac:dyDescent="0.25">
      <c r="A601" s="77"/>
      <c r="B601" s="78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7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</row>
    <row r="602" spans="1:33" x14ac:dyDescent="0.25">
      <c r="A602" s="77"/>
      <c r="B602" s="78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7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</row>
    <row r="603" spans="1:33" x14ac:dyDescent="0.25">
      <c r="A603" s="77"/>
      <c r="B603" s="78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7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</row>
    <row r="604" spans="1:33" x14ac:dyDescent="0.25">
      <c r="A604" s="77"/>
      <c r="B604" s="78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7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</row>
    <row r="605" spans="1:33" x14ac:dyDescent="0.25">
      <c r="A605" s="77"/>
      <c r="B605" s="78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7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</row>
    <row r="606" spans="1:33" x14ac:dyDescent="0.25">
      <c r="A606" s="77"/>
      <c r="B606" s="78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7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</row>
    <row r="607" spans="1:33" x14ac:dyDescent="0.25">
      <c r="A607" s="77"/>
      <c r="B607" s="78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7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</row>
    <row r="608" spans="1:33" x14ac:dyDescent="0.25">
      <c r="A608" s="77"/>
      <c r="B608" s="78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7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</row>
    <row r="609" spans="1:33" x14ac:dyDescent="0.25">
      <c r="A609" s="77"/>
      <c r="B609" s="78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7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</row>
    <row r="610" spans="1:33" x14ac:dyDescent="0.25">
      <c r="A610" s="77"/>
      <c r="B610" s="78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7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</row>
    <row r="611" spans="1:33" x14ac:dyDescent="0.25">
      <c r="A611" s="77"/>
      <c r="B611" s="78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7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</row>
    <row r="612" spans="1:33" x14ac:dyDescent="0.25">
      <c r="A612" s="77"/>
      <c r="B612" s="78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7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</row>
    <row r="613" spans="1:33" x14ac:dyDescent="0.25">
      <c r="A613" s="77"/>
      <c r="B613" s="78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7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</row>
    <row r="614" spans="1:33" x14ac:dyDescent="0.25">
      <c r="A614" s="77"/>
      <c r="B614" s="78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7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</row>
    <row r="615" spans="1:33" x14ac:dyDescent="0.25">
      <c r="A615" s="77"/>
      <c r="B615" s="78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7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</row>
    <row r="616" spans="1:33" x14ac:dyDescent="0.25">
      <c r="A616" s="77"/>
      <c r="B616" s="78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7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</row>
    <row r="617" spans="1:33" x14ac:dyDescent="0.25">
      <c r="A617" s="77"/>
      <c r="B617" s="78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7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</row>
    <row r="618" spans="1:33" x14ac:dyDescent="0.25">
      <c r="A618" s="77"/>
      <c r="B618" s="78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7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</row>
    <row r="619" spans="1:33" x14ac:dyDescent="0.25">
      <c r="A619" s="77"/>
      <c r="B619" s="78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7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</row>
    <row r="620" spans="1:33" x14ac:dyDescent="0.25">
      <c r="A620" s="77"/>
      <c r="B620" s="78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7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</row>
    <row r="621" spans="1:33" x14ac:dyDescent="0.25">
      <c r="A621" s="77"/>
      <c r="B621" s="78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7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</row>
    <row r="622" spans="1:33" x14ac:dyDescent="0.25">
      <c r="A622" s="77"/>
      <c r="B622" s="78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7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</row>
    <row r="623" spans="1:33" x14ac:dyDescent="0.25">
      <c r="A623" s="77"/>
      <c r="B623" s="78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7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</row>
    <row r="624" spans="1:33" x14ac:dyDescent="0.25">
      <c r="A624" s="77"/>
      <c r="B624" s="78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7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</row>
    <row r="625" spans="1:33" x14ac:dyDescent="0.25">
      <c r="A625" s="77"/>
      <c r="B625" s="78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7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</row>
    <row r="626" spans="1:33" x14ac:dyDescent="0.25">
      <c r="A626" s="77"/>
      <c r="B626" s="78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7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</row>
    <row r="627" spans="1:33" x14ac:dyDescent="0.25">
      <c r="A627" s="77"/>
      <c r="B627" s="78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7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</row>
    <row r="628" spans="1:33" x14ac:dyDescent="0.25">
      <c r="A628" s="77"/>
      <c r="B628" s="78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7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</row>
    <row r="629" spans="1:33" x14ac:dyDescent="0.25">
      <c r="A629" s="77"/>
      <c r="B629" s="78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7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</row>
    <row r="630" spans="1:33" x14ac:dyDescent="0.25">
      <c r="A630" s="77"/>
      <c r="B630" s="78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7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</row>
    <row r="631" spans="1:33" x14ac:dyDescent="0.25">
      <c r="A631" s="77"/>
      <c r="B631" s="78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7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</row>
    <row r="632" spans="1:33" x14ac:dyDescent="0.25">
      <c r="A632" s="77"/>
      <c r="B632" s="78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7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</row>
    <row r="633" spans="1:33" x14ac:dyDescent="0.25">
      <c r="A633" s="77"/>
      <c r="B633" s="78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7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</row>
    <row r="634" spans="1:33" x14ac:dyDescent="0.25">
      <c r="A634" s="77"/>
      <c r="B634" s="78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7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</row>
    <row r="635" spans="1:33" x14ac:dyDescent="0.25">
      <c r="A635" s="77"/>
      <c r="B635" s="78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7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</row>
    <row r="636" spans="1:33" x14ac:dyDescent="0.25">
      <c r="A636" s="77"/>
      <c r="B636" s="78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7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</row>
    <row r="637" spans="1:33" x14ac:dyDescent="0.25">
      <c r="A637" s="77"/>
      <c r="B637" s="78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7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</row>
    <row r="638" spans="1:33" x14ac:dyDescent="0.25">
      <c r="A638" s="77"/>
      <c r="B638" s="78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7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</row>
    <row r="639" spans="1:33" x14ac:dyDescent="0.25">
      <c r="A639" s="77"/>
      <c r="B639" s="78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7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</row>
    <row r="640" spans="1:33" x14ac:dyDescent="0.25">
      <c r="A640" s="77"/>
      <c r="B640" s="78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7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</row>
    <row r="641" spans="1:33" x14ac:dyDescent="0.25">
      <c r="A641" s="77"/>
      <c r="B641" s="78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7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</row>
    <row r="642" spans="1:33" x14ac:dyDescent="0.25">
      <c r="A642" s="77"/>
      <c r="B642" s="78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7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</row>
    <row r="643" spans="1:33" x14ac:dyDescent="0.25">
      <c r="A643" s="77"/>
      <c r="B643" s="78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7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</row>
    <row r="644" spans="1:33" x14ac:dyDescent="0.25">
      <c r="A644" s="77"/>
      <c r="B644" s="78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7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</row>
    <row r="645" spans="1:33" x14ac:dyDescent="0.25">
      <c r="A645" s="77"/>
      <c r="B645" s="78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7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</row>
    <row r="646" spans="1:33" x14ac:dyDescent="0.25">
      <c r="A646" s="77"/>
      <c r="B646" s="78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7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</row>
    <row r="647" spans="1:33" x14ac:dyDescent="0.25">
      <c r="A647" s="77"/>
      <c r="B647" s="78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7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</row>
    <row r="648" spans="1:33" x14ac:dyDescent="0.25">
      <c r="A648" s="77"/>
      <c r="B648" s="78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7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</row>
    <row r="649" spans="1:33" x14ac:dyDescent="0.25">
      <c r="A649" s="77"/>
      <c r="B649" s="78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7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</row>
    <row r="650" spans="1:33" x14ac:dyDescent="0.25">
      <c r="A650" s="77"/>
      <c r="B650" s="78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7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</row>
    <row r="651" spans="1:33" x14ac:dyDescent="0.25">
      <c r="A651" s="77"/>
      <c r="B651" s="78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7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</row>
    <row r="652" spans="1:33" x14ac:dyDescent="0.25">
      <c r="A652" s="77"/>
      <c r="B652" s="78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7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</row>
    <row r="653" spans="1:33" x14ac:dyDescent="0.25">
      <c r="A653" s="77"/>
      <c r="B653" s="78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7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</row>
    <row r="654" spans="1:33" x14ac:dyDescent="0.25">
      <c r="A654" s="77"/>
      <c r="B654" s="78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7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</row>
    <row r="655" spans="1:33" x14ac:dyDescent="0.25">
      <c r="A655" s="77"/>
      <c r="B655" s="78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7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</row>
    <row r="656" spans="1:33" x14ac:dyDescent="0.25">
      <c r="A656" s="77"/>
      <c r="B656" s="78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7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</row>
    <row r="657" spans="1:33" x14ac:dyDescent="0.25">
      <c r="A657" s="77"/>
      <c r="B657" s="78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7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</row>
    <row r="658" spans="1:33" x14ac:dyDescent="0.25">
      <c r="A658" s="77"/>
      <c r="B658" s="78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7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</row>
    <row r="659" spans="1:33" x14ac:dyDescent="0.25">
      <c r="A659" s="77"/>
      <c r="B659" s="78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7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</row>
    <row r="660" spans="1:33" x14ac:dyDescent="0.25">
      <c r="A660" s="77"/>
      <c r="B660" s="78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7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</row>
    <row r="661" spans="1:33" x14ac:dyDescent="0.25">
      <c r="A661" s="77"/>
      <c r="B661" s="78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7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</row>
    <row r="662" spans="1:33" x14ac:dyDescent="0.25">
      <c r="A662" s="77"/>
      <c r="B662" s="78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7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</row>
    <row r="663" spans="1:33" x14ac:dyDescent="0.25">
      <c r="A663" s="77"/>
      <c r="B663" s="78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7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</row>
    <row r="664" spans="1:33" x14ac:dyDescent="0.25">
      <c r="A664" s="77"/>
      <c r="B664" s="78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7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</row>
    <row r="665" spans="1:33" x14ac:dyDescent="0.25">
      <c r="A665" s="77"/>
      <c r="B665" s="78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7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</row>
    <row r="666" spans="1:33" x14ac:dyDescent="0.25">
      <c r="A666" s="77"/>
      <c r="B666" s="78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7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</row>
    <row r="667" spans="1:33" x14ac:dyDescent="0.25">
      <c r="A667" s="77"/>
      <c r="B667" s="78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7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</row>
    <row r="668" spans="1:33" x14ac:dyDescent="0.25">
      <c r="A668" s="77"/>
      <c r="B668" s="78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7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</row>
    <row r="669" spans="1:33" x14ac:dyDescent="0.25">
      <c r="A669" s="77"/>
      <c r="B669" s="78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7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</row>
    <row r="670" spans="1:33" x14ac:dyDescent="0.25">
      <c r="A670" s="77"/>
      <c r="B670" s="78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7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</row>
    <row r="671" spans="1:33" x14ac:dyDescent="0.25">
      <c r="A671" s="77"/>
      <c r="B671" s="78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7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</row>
    <row r="672" spans="1:33" x14ac:dyDescent="0.25">
      <c r="A672" s="77"/>
      <c r="B672" s="78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7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</row>
    <row r="673" spans="1:33" x14ac:dyDescent="0.25">
      <c r="A673" s="77"/>
      <c r="B673" s="78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7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</row>
    <row r="674" spans="1:33" x14ac:dyDescent="0.25">
      <c r="A674" s="77"/>
      <c r="B674" s="78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7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</row>
    <row r="675" spans="1:33" x14ac:dyDescent="0.25">
      <c r="A675" s="77"/>
      <c r="B675" s="78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7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</row>
    <row r="676" spans="1:33" x14ac:dyDescent="0.25">
      <c r="A676" s="77"/>
      <c r="B676" s="78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7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</row>
    <row r="677" spans="1:33" x14ac:dyDescent="0.25">
      <c r="A677" s="77"/>
      <c r="B677" s="78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7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</row>
    <row r="678" spans="1:33" x14ac:dyDescent="0.25">
      <c r="A678" s="77"/>
      <c r="B678" s="78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7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</row>
    <row r="679" spans="1:33" x14ac:dyDescent="0.25">
      <c r="A679" s="77"/>
      <c r="B679" s="78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7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</row>
    <row r="680" spans="1:33" x14ac:dyDescent="0.25">
      <c r="A680" s="77"/>
      <c r="B680" s="78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7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</row>
    <row r="681" spans="1:33" x14ac:dyDescent="0.25">
      <c r="A681" s="77"/>
      <c r="B681" s="78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7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</row>
    <row r="682" spans="1:33" x14ac:dyDescent="0.25">
      <c r="A682" s="77"/>
      <c r="B682" s="78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7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</row>
    <row r="683" spans="1:33" x14ac:dyDescent="0.25">
      <c r="A683" s="77"/>
      <c r="B683" s="78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7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</row>
    <row r="684" spans="1:33" x14ac:dyDescent="0.25">
      <c r="A684" s="77"/>
      <c r="B684" s="78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7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</row>
    <row r="685" spans="1:33" x14ac:dyDescent="0.25">
      <c r="A685" s="77"/>
      <c r="B685" s="78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7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</row>
    <row r="686" spans="1:33" x14ac:dyDescent="0.25">
      <c r="A686" s="77"/>
      <c r="B686" s="78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7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</row>
    <row r="687" spans="1:33" x14ac:dyDescent="0.25">
      <c r="A687" s="77"/>
      <c r="B687" s="78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7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</row>
    <row r="688" spans="1:33" x14ac:dyDescent="0.25">
      <c r="A688" s="77"/>
      <c r="B688" s="78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7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</row>
    <row r="689" spans="1:33" x14ac:dyDescent="0.25">
      <c r="A689" s="77"/>
      <c r="B689" s="78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7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</row>
    <row r="690" spans="1:33" x14ac:dyDescent="0.25">
      <c r="A690" s="77"/>
      <c r="B690" s="78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7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</row>
    <row r="691" spans="1:33" x14ac:dyDescent="0.25">
      <c r="A691" s="77"/>
      <c r="B691" s="78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7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</row>
    <row r="692" spans="1:33" x14ac:dyDescent="0.25">
      <c r="A692" s="77"/>
      <c r="B692" s="78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7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</row>
    <row r="693" spans="1:33" x14ac:dyDescent="0.25">
      <c r="A693" s="77"/>
      <c r="B693" s="78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7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</row>
    <row r="694" spans="1:33" x14ac:dyDescent="0.25">
      <c r="A694" s="77"/>
      <c r="B694" s="78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7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</row>
    <row r="695" spans="1:33" x14ac:dyDescent="0.25">
      <c r="A695" s="77"/>
      <c r="B695" s="78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7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</row>
    <row r="696" spans="1:33" x14ac:dyDescent="0.25">
      <c r="A696" s="77"/>
      <c r="B696" s="78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7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</row>
    <row r="697" spans="1:33" x14ac:dyDescent="0.25">
      <c r="A697" s="77"/>
      <c r="B697" s="78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7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</row>
    <row r="698" spans="1:33" x14ac:dyDescent="0.25">
      <c r="A698" s="77"/>
      <c r="B698" s="78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7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</row>
    <row r="699" spans="1:33" x14ac:dyDescent="0.25">
      <c r="A699" s="77"/>
      <c r="B699" s="78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7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</row>
    <row r="700" spans="1:33" x14ac:dyDescent="0.25">
      <c r="A700" s="77"/>
      <c r="B700" s="78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7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</row>
    <row r="701" spans="1:33" x14ac:dyDescent="0.25">
      <c r="A701" s="77"/>
      <c r="B701" s="78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7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</row>
    <row r="702" spans="1:33" x14ac:dyDescent="0.25">
      <c r="A702" s="77"/>
      <c r="B702" s="78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7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</row>
    <row r="703" spans="1:33" x14ac:dyDescent="0.25">
      <c r="A703" s="77"/>
      <c r="B703" s="78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7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</row>
    <row r="704" spans="1:33" x14ac:dyDescent="0.25">
      <c r="A704" s="77"/>
      <c r="B704" s="78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7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</row>
    <row r="705" spans="1:33" x14ac:dyDescent="0.25">
      <c r="A705" s="77"/>
      <c r="B705" s="78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7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</row>
    <row r="706" spans="1:33" x14ac:dyDescent="0.25">
      <c r="A706" s="77"/>
      <c r="B706" s="78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7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</row>
    <row r="707" spans="1:33" x14ac:dyDescent="0.25">
      <c r="A707" s="77"/>
      <c r="B707" s="78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7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</row>
    <row r="708" spans="1:33" x14ac:dyDescent="0.25">
      <c r="A708" s="77"/>
      <c r="B708" s="78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7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</row>
    <row r="709" spans="1:33" x14ac:dyDescent="0.25">
      <c r="A709" s="77"/>
      <c r="B709" s="78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7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</row>
    <row r="710" spans="1:33" x14ac:dyDescent="0.25">
      <c r="A710" s="77"/>
      <c r="B710" s="78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7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</row>
    <row r="711" spans="1:33" x14ac:dyDescent="0.25">
      <c r="A711" s="77"/>
      <c r="B711" s="78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7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</row>
    <row r="712" spans="1:33" x14ac:dyDescent="0.25">
      <c r="A712" s="77"/>
      <c r="B712" s="78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7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</row>
    <row r="713" spans="1:33" x14ac:dyDescent="0.25">
      <c r="A713" s="77"/>
      <c r="B713" s="78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7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</row>
    <row r="714" spans="1:33" x14ac:dyDescent="0.25">
      <c r="A714" s="77"/>
      <c r="B714" s="78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7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</row>
    <row r="715" spans="1:33" x14ac:dyDescent="0.25">
      <c r="A715" s="77"/>
      <c r="B715" s="78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7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</row>
    <row r="716" spans="1:33" x14ac:dyDescent="0.25">
      <c r="A716" s="77"/>
      <c r="B716" s="78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7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</row>
    <row r="717" spans="1:33" x14ac:dyDescent="0.25">
      <c r="A717" s="77"/>
      <c r="B717" s="78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7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</row>
    <row r="718" spans="1:33" x14ac:dyDescent="0.25">
      <c r="A718" s="77"/>
      <c r="B718" s="78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7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</row>
    <row r="719" spans="1:33" x14ac:dyDescent="0.25">
      <c r="A719" s="77"/>
      <c r="B719" s="78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7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</row>
    <row r="720" spans="1:33" x14ac:dyDescent="0.25">
      <c r="A720" s="77"/>
      <c r="B720" s="78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7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</row>
    <row r="721" spans="1:33" x14ac:dyDescent="0.25">
      <c r="A721" s="77"/>
      <c r="B721" s="78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7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</row>
    <row r="722" spans="1:33" x14ac:dyDescent="0.25">
      <c r="A722" s="77"/>
      <c r="B722" s="78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7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</row>
    <row r="723" spans="1:33" x14ac:dyDescent="0.25">
      <c r="A723" s="77"/>
      <c r="B723" s="78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7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</row>
    <row r="724" spans="1:33" x14ac:dyDescent="0.25">
      <c r="A724" s="77"/>
      <c r="B724" s="78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7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</row>
    <row r="725" spans="1:33" x14ac:dyDescent="0.25">
      <c r="A725" s="77"/>
      <c r="B725" s="78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7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</row>
    <row r="726" spans="1:33" x14ac:dyDescent="0.25">
      <c r="A726" s="77"/>
      <c r="B726" s="78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7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</row>
    <row r="727" spans="1:33" x14ac:dyDescent="0.25">
      <c r="A727" s="77"/>
      <c r="B727" s="78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7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</row>
    <row r="728" spans="1:33" x14ac:dyDescent="0.25">
      <c r="A728" s="77"/>
      <c r="B728" s="78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7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</row>
    <row r="729" spans="1:33" x14ac:dyDescent="0.25">
      <c r="A729" s="77"/>
      <c r="B729" s="78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7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</row>
    <row r="730" spans="1:33" x14ac:dyDescent="0.25">
      <c r="A730" s="77"/>
      <c r="B730" s="78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7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</row>
    <row r="731" spans="1:33" x14ac:dyDescent="0.25">
      <c r="A731" s="77"/>
      <c r="B731" s="78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7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</row>
    <row r="732" spans="1:33" x14ac:dyDescent="0.25">
      <c r="A732" s="77"/>
      <c r="B732" s="78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7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</row>
    <row r="733" spans="1:33" x14ac:dyDescent="0.25">
      <c r="A733" s="77"/>
      <c r="B733" s="78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7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</row>
    <row r="734" spans="1:33" x14ac:dyDescent="0.25">
      <c r="A734" s="77"/>
      <c r="B734" s="78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7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</row>
    <row r="735" spans="1:33" x14ac:dyDescent="0.25">
      <c r="A735" s="77"/>
      <c r="B735" s="78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7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</row>
    <row r="736" spans="1:33" x14ac:dyDescent="0.25">
      <c r="A736" s="77"/>
      <c r="B736" s="78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7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</row>
    <row r="737" spans="1:33" x14ac:dyDescent="0.25">
      <c r="A737" s="77"/>
      <c r="B737" s="78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7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</row>
    <row r="738" spans="1:33" x14ac:dyDescent="0.25">
      <c r="A738" s="77"/>
      <c r="B738" s="78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7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</row>
    <row r="739" spans="1:33" x14ac:dyDescent="0.25">
      <c r="A739" s="77"/>
      <c r="B739" s="78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7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</row>
    <row r="740" spans="1:33" x14ac:dyDescent="0.25">
      <c r="A740" s="77"/>
      <c r="B740" s="78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7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</row>
    <row r="741" spans="1:33" x14ac:dyDescent="0.25">
      <c r="A741" s="77"/>
      <c r="B741" s="78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7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</row>
    <row r="742" spans="1:33" x14ac:dyDescent="0.25">
      <c r="A742" s="77"/>
      <c r="B742" s="78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7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</row>
    <row r="743" spans="1:33" x14ac:dyDescent="0.25">
      <c r="A743" s="77"/>
      <c r="B743" s="78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7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</row>
    <row r="744" spans="1:33" x14ac:dyDescent="0.25">
      <c r="A744" s="77"/>
      <c r="B744" s="78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7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</row>
    <row r="745" spans="1:33" x14ac:dyDescent="0.25">
      <c r="A745" s="77"/>
      <c r="B745" s="78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7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</row>
    <row r="746" spans="1:33" x14ac:dyDescent="0.25">
      <c r="A746" s="77"/>
      <c r="B746" s="78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7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</row>
    <row r="747" spans="1:33" x14ac:dyDescent="0.25">
      <c r="A747" s="77"/>
      <c r="B747" s="78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7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</row>
    <row r="748" spans="1:33" x14ac:dyDescent="0.25">
      <c r="A748" s="77"/>
      <c r="B748" s="78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7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</row>
    <row r="749" spans="1:33" x14ac:dyDescent="0.25">
      <c r="A749" s="77"/>
      <c r="B749" s="78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7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</row>
    <row r="750" spans="1:33" x14ac:dyDescent="0.25">
      <c r="A750" s="77"/>
      <c r="B750" s="78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7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</row>
    <row r="751" spans="1:33" x14ac:dyDescent="0.25">
      <c r="A751" s="77"/>
      <c r="B751" s="78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7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</row>
    <row r="752" spans="1:33" x14ac:dyDescent="0.25">
      <c r="A752" s="77"/>
      <c r="B752" s="78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7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</row>
    <row r="753" spans="1:33" x14ac:dyDescent="0.25">
      <c r="A753" s="77"/>
      <c r="B753" s="78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7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</row>
    <row r="754" spans="1:33" x14ac:dyDescent="0.25">
      <c r="A754" s="77"/>
      <c r="B754" s="78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7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</row>
    <row r="755" spans="1:33" x14ac:dyDescent="0.25">
      <c r="A755" s="77"/>
      <c r="B755" s="78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7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</row>
    <row r="756" spans="1:33" x14ac:dyDescent="0.25">
      <c r="A756" s="77"/>
      <c r="B756" s="78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7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</row>
    <row r="757" spans="1:33" x14ac:dyDescent="0.25">
      <c r="A757" s="77"/>
      <c r="B757" s="78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7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</row>
    <row r="758" spans="1:33" x14ac:dyDescent="0.25">
      <c r="A758" s="77"/>
      <c r="B758" s="78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7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</row>
    <row r="759" spans="1:33" x14ac:dyDescent="0.25">
      <c r="A759" s="77"/>
      <c r="B759" s="78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7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</row>
    <row r="760" spans="1:33" x14ac:dyDescent="0.25">
      <c r="A760" s="77"/>
      <c r="B760" s="78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7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</row>
    <row r="761" spans="1:33" x14ac:dyDescent="0.25">
      <c r="A761" s="77"/>
      <c r="B761" s="78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7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</row>
    <row r="762" spans="1:33" x14ac:dyDescent="0.25">
      <c r="A762" s="77"/>
      <c r="B762" s="78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7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</row>
    <row r="763" spans="1:33" x14ac:dyDescent="0.25">
      <c r="A763" s="77"/>
      <c r="B763" s="78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7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</row>
    <row r="764" spans="1:33" x14ac:dyDescent="0.25">
      <c r="A764" s="77"/>
      <c r="B764" s="78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7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</row>
    <row r="765" spans="1:33" x14ac:dyDescent="0.25">
      <c r="A765" s="77"/>
      <c r="B765" s="78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7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</row>
    <row r="766" spans="1:33" x14ac:dyDescent="0.25">
      <c r="A766" s="77"/>
      <c r="B766" s="78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7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</row>
    <row r="767" spans="1:33" x14ac:dyDescent="0.25">
      <c r="A767" s="77"/>
      <c r="B767" s="78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7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</row>
    <row r="768" spans="1:33" x14ac:dyDescent="0.25">
      <c r="A768" s="77"/>
      <c r="B768" s="78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7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</row>
    <row r="769" spans="1:33" x14ac:dyDescent="0.25">
      <c r="A769" s="77"/>
      <c r="B769" s="78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7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</row>
    <row r="770" spans="1:33" x14ac:dyDescent="0.25">
      <c r="A770" s="77"/>
      <c r="B770" s="78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7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</row>
    <row r="771" spans="1:33" x14ac:dyDescent="0.25">
      <c r="A771" s="77"/>
      <c r="B771" s="78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7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</row>
    <row r="772" spans="1:33" x14ac:dyDescent="0.25">
      <c r="A772" s="77"/>
      <c r="B772" s="78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7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</row>
    <row r="773" spans="1:33" x14ac:dyDescent="0.25">
      <c r="A773" s="77"/>
      <c r="B773" s="78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7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</row>
    <row r="774" spans="1:33" x14ac:dyDescent="0.25">
      <c r="A774" s="77"/>
      <c r="B774" s="78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7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</row>
    <row r="775" spans="1:33" x14ac:dyDescent="0.25">
      <c r="A775" s="77"/>
      <c r="B775" s="78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7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</row>
    <row r="776" spans="1:33" x14ac:dyDescent="0.25">
      <c r="A776" s="77"/>
      <c r="B776" s="78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7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</row>
    <row r="777" spans="1:33" x14ac:dyDescent="0.25">
      <c r="A777" s="77"/>
      <c r="B777" s="78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7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</row>
    <row r="778" spans="1:33" x14ac:dyDescent="0.25">
      <c r="A778" s="77"/>
      <c r="B778" s="78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7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</row>
    <row r="779" spans="1:33" x14ac:dyDescent="0.25">
      <c r="A779" s="77"/>
      <c r="B779" s="78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7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</row>
    <row r="780" spans="1:33" x14ac:dyDescent="0.25">
      <c r="A780" s="77"/>
      <c r="B780" s="78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7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</row>
    <row r="781" spans="1:33" x14ac:dyDescent="0.25">
      <c r="A781" s="77"/>
      <c r="B781" s="78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7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</row>
    <row r="782" spans="1:33" x14ac:dyDescent="0.25">
      <c r="A782" s="77"/>
      <c r="B782" s="78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7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</row>
    <row r="783" spans="1:33" x14ac:dyDescent="0.25">
      <c r="A783" s="77"/>
      <c r="B783" s="78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7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</row>
    <row r="784" spans="1:33" x14ac:dyDescent="0.25">
      <c r="A784" s="77"/>
      <c r="B784" s="78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7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</row>
    <row r="785" spans="1:33" x14ac:dyDescent="0.25">
      <c r="A785" s="77"/>
      <c r="B785" s="78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7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</row>
    <row r="786" spans="1:33" x14ac:dyDescent="0.25">
      <c r="A786" s="77"/>
      <c r="B786" s="78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7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</row>
    <row r="787" spans="1:33" x14ac:dyDescent="0.25">
      <c r="A787" s="77"/>
      <c r="B787" s="78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7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</row>
    <row r="788" spans="1:33" x14ac:dyDescent="0.25">
      <c r="A788" s="77"/>
      <c r="B788" s="78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7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</row>
    <row r="789" spans="1:33" x14ac:dyDescent="0.25">
      <c r="A789" s="77"/>
      <c r="B789" s="78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7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</row>
    <row r="790" spans="1:33" x14ac:dyDescent="0.25">
      <c r="A790" s="77"/>
      <c r="B790" s="78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7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</row>
    <row r="791" spans="1:33" x14ac:dyDescent="0.25">
      <c r="A791" s="77"/>
      <c r="B791" s="78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7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</row>
    <row r="792" spans="1:33" x14ac:dyDescent="0.25">
      <c r="A792" s="77"/>
      <c r="B792" s="78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7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</row>
    <row r="793" spans="1:33" x14ac:dyDescent="0.25">
      <c r="A793" s="77"/>
      <c r="B793" s="78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7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</row>
    <row r="794" spans="1:33" x14ac:dyDescent="0.25">
      <c r="A794" s="77"/>
      <c r="B794" s="78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7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</row>
    <row r="795" spans="1:33" x14ac:dyDescent="0.25">
      <c r="A795" s="77"/>
      <c r="B795" s="78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7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</row>
    <row r="796" spans="1:33" x14ac:dyDescent="0.25">
      <c r="A796" s="77"/>
      <c r="B796" s="78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7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</row>
    <row r="797" spans="1:33" x14ac:dyDescent="0.25">
      <c r="A797" s="77"/>
      <c r="B797" s="78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7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</row>
    <row r="798" spans="1:33" x14ac:dyDescent="0.25">
      <c r="A798" s="77"/>
      <c r="B798" s="78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7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</row>
    <row r="799" spans="1:33" x14ac:dyDescent="0.25">
      <c r="A799" s="77"/>
      <c r="B799" s="78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7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</row>
    <row r="800" spans="1:33" x14ac:dyDescent="0.25">
      <c r="A800" s="77"/>
      <c r="B800" s="78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7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</row>
    <row r="801" spans="1:33" x14ac:dyDescent="0.25">
      <c r="A801" s="77"/>
      <c r="B801" s="78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7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</row>
    <row r="802" spans="1:33" x14ac:dyDescent="0.25">
      <c r="A802" s="77"/>
      <c r="B802" s="78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7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</row>
    <row r="803" spans="1:33" x14ac:dyDescent="0.25">
      <c r="A803" s="77"/>
      <c r="B803" s="78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7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</row>
    <row r="804" spans="1:33" x14ac:dyDescent="0.25">
      <c r="A804" s="77"/>
      <c r="B804" s="78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7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</row>
    <row r="805" spans="1:33" x14ac:dyDescent="0.25">
      <c r="A805" s="77"/>
      <c r="B805" s="78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7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</row>
    <row r="806" spans="1:33" x14ac:dyDescent="0.25">
      <c r="A806" s="77"/>
      <c r="B806" s="78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7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</row>
    <row r="807" spans="1:33" x14ac:dyDescent="0.25">
      <c r="A807" s="77"/>
      <c r="B807" s="78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7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</row>
    <row r="808" spans="1:33" x14ac:dyDescent="0.25">
      <c r="A808" s="77"/>
      <c r="B808" s="78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7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</row>
    <row r="809" spans="1:33" x14ac:dyDescent="0.25">
      <c r="A809" s="77"/>
      <c r="B809" s="78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7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</row>
    <row r="810" spans="1:33" x14ac:dyDescent="0.25">
      <c r="A810" s="77"/>
      <c r="B810" s="78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7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</row>
    <row r="811" spans="1:33" x14ac:dyDescent="0.25">
      <c r="A811" s="77"/>
      <c r="B811" s="78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7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</row>
    <row r="812" spans="1:33" x14ac:dyDescent="0.25">
      <c r="A812" s="77"/>
      <c r="B812" s="78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7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</row>
    <row r="813" spans="1:33" x14ac:dyDescent="0.25">
      <c r="A813" s="77"/>
      <c r="B813" s="78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7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</row>
    <row r="814" spans="1:33" x14ac:dyDescent="0.25">
      <c r="A814" s="77"/>
      <c r="B814" s="78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7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</row>
    <row r="815" spans="1:33" x14ac:dyDescent="0.25">
      <c r="A815" s="77"/>
      <c r="B815" s="78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7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</row>
    <row r="816" spans="1:33" x14ac:dyDescent="0.25">
      <c r="A816" s="77"/>
      <c r="B816" s="78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7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</row>
    <row r="817" spans="1:33" x14ac:dyDescent="0.25">
      <c r="A817" s="77"/>
      <c r="B817" s="78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7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</row>
    <row r="818" spans="1:33" x14ac:dyDescent="0.25">
      <c r="A818" s="77"/>
      <c r="B818" s="78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7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</row>
    <row r="819" spans="1:33" x14ac:dyDescent="0.25">
      <c r="A819" s="77"/>
      <c r="B819" s="78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7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</row>
    <row r="820" spans="1:33" x14ac:dyDescent="0.25">
      <c r="A820" s="77"/>
      <c r="B820" s="78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7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</row>
    <row r="821" spans="1:33" x14ac:dyDescent="0.25">
      <c r="A821" s="77"/>
      <c r="B821" s="78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7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</row>
    <row r="822" spans="1:33" x14ac:dyDescent="0.25">
      <c r="A822" s="77"/>
      <c r="B822" s="78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7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</row>
    <row r="823" spans="1:33" x14ac:dyDescent="0.25">
      <c r="A823" s="77"/>
      <c r="B823" s="78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7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</row>
    <row r="824" spans="1:33" x14ac:dyDescent="0.25">
      <c r="A824" s="77"/>
      <c r="B824" s="78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7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</row>
    <row r="825" spans="1:33" x14ac:dyDescent="0.25">
      <c r="A825" s="77"/>
      <c r="B825" s="78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7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</row>
    <row r="826" spans="1:33" x14ac:dyDescent="0.25">
      <c r="A826" s="77"/>
      <c r="B826" s="78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7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</row>
    <row r="827" spans="1:33" x14ac:dyDescent="0.25">
      <c r="A827" s="77"/>
      <c r="B827" s="78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7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</row>
    <row r="828" spans="1:33" x14ac:dyDescent="0.25">
      <c r="A828" s="77"/>
      <c r="B828" s="78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7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</row>
    <row r="829" spans="1:33" x14ac:dyDescent="0.25">
      <c r="A829" s="77"/>
      <c r="B829" s="78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7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</row>
    <row r="830" spans="1:33" x14ac:dyDescent="0.25">
      <c r="A830" s="77"/>
      <c r="B830" s="78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7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</row>
    <row r="831" spans="1:33" x14ac:dyDescent="0.25">
      <c r="A831" s="77"/>
      <c r="B831" s="78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7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</row>
    <row r="832" spans="1:33" x14ac:dyDescent="0.25">
      <c r="A832" s="77"/>
      <c r="B832" s="78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7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</row>
    <row r="833" spans="1:33" x14ac:dyDescent="0.25">
      <c r="A833" s="77"/>
      <c r="B833" s="78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7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</row>
    <row r="834" spans="1:33" x14ac:dyDescent="0.25">
      <c r="A834" s="77"/>
      <c r="B834" s="78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7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</row>
    <row r="835" spans="1:33" x14ac:dyDescent="0.25">
      <c r="A835" s="77"/>
      <c r="B835" s="78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7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</row>
    <row r="836" spans="1:33" x14ac:dyDescent="0.25">
      <c r="A836" s="77"/>
      <c r="B836" s="78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7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</row>
    <row r="837" spans="1:33" x14ac:dyDescent="0.25">
      <c r="A837" s="77"/>
      <c r="B837" s="78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7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</row>
    <row r="838" spans="1:33" x14ac:dyDescent="0.25">
      <c r="A838" s="77"/>
      <c r="B838" s="78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7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</row>
    <row r="839" spans="1:33" x14ac:dyDescent="0.25">
      <c r="A839" s="77"/>
      <c r="B839" s="78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7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</row>
    <row r="840" spans="1:33" x14ac:dyDescent="0.25">
      <c r="A840" s="77"/>
      <c r="B840" s="78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7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</row>
    <row r="841" spans="1:33" x14ac:dyDescent="0.25">
      <c r="A841" s="77"/>
      <c r="B841" s="78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7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</row>
    <row r="842" spans="1:33" x14ac:dyDescent="0.25">
      <c r="A842" s="77"/>
      <c r="B842" s="78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7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</row>
    <row r="843" spans="1:33" x14ac:dyDescent="0.25">
      <c r="A843" s="77"/>
      <c r="B843" s="78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7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</row>
    <row r="844" spans="1:33" x14ac:dyDescent="0.25">
      <c r="A844" s="77"/>
      <c r="B844" s="78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7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</row>
    <row r="845" spans="1:33" x14ac:dyDescent="0.25">
      <c r="A845" s="77"/>
      <c r="B845" s="78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7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</row>
    <row r="846" spans="1:33" x14ac:dyDescent="0.25">
      <c r="A846" s="77"/>
      <c r="B846" s="78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7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</row>
    <row r="847" spans="1:33" x14ac:dyDescent="0.25">
      <c r="A847" s="77"/>
      <c r="B847" s="78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7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</row>
    <row r="848" spans="1:33" x14ac:dyDescent="0.25">
      <c r="A848" s="77"/>
      <c r="B848" s="78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7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</row>
    <row r="849" spans="1:33" x14ac:dyDescent="0.25">
      <c r="A849" s="77"/>
      <c r="B849" s="78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7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</row>
    <row r="850" spans="1:33" x14ac:dyDescent="0.25">
      <c r="A850" s="77"/>
      <c r="B850" s="78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7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</row>
    <row r="851" spans="1:33" x14ac:dyDescent="0.25">
      <c r="A851" s="77"/>
      <c r="B851" s="78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7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</row>
    <row r="852" spans="1:33" x14ac:dyDescent="0.25">
      <c r="A852" s="77"/>
      <c r="B852" s="78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7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</row>
    <row r="853" spans="1:33" x14ac:dyDescent="0.25">
      <c r="A853" s="77"/>
      <c r="B853" s="78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7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</row>
    <row r="854" spans="1:33" x14ac:dyDescent="0.25">
      <c r="A854" s="77"/>
      <c r="B854" s="78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7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</row>
    <row r="855" spans="1:33" x14ac:dyDescent="0.25">
      <c r="A855" s="77"/>
      <c r="B855" s="78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7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</row>
    <row r="856" spans="1:33" x14ac:dyDescent="0.25">
      <c r="A856" s="77"/>
      <c r="B856" s="78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7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</row>
    <row r="857" spans="1:33" x14ac:dyDescent="0.25">
      <c r="A857" s="77"/>
      <c r="B857" s="78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7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</row>
    <row r="858" spans="1:33" x14ac:dyDescent="0.25">
      <c r="A858" s="77"/>
      <c r="B858" s="78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7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</row>
    <row r="859" spans="1:33" x14ac:dyDescent="0.25">
      <c r="A859" s="77"/>
      <c r="B859" s="78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7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</row>
    <row r="860" spans="1:33" x14ac:dyDescent="0.25">
      <c r="A860" s="77"/>
      <c r="B860" s="78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7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</row>
    <row r="861" spans="1:33" x14ac:dyDescent="0.25">
      <c r="A861" s="77"/>
      <c r="B861" s="78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7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</row>
    <row r="862" spans="1:33" x14ac:dyDescent="0.25">
      <c r="A862" s="77"/>
      <c r="B862" s="78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7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</row>
    <row r="863" spans="1:33" x14ac:dyDescent="0.25">
      <c r="A863" s="77"/>
      <c r="B863" s="78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7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</row>
    <row r="864" spans="1:33" x14ac:dyDescent="0.25">
      <c r="A864" s="77"/>
      <c r="B864" s="78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7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</row>
    <row r="865" spans="1:33" x14ac:dyDescent="0.25">
      <c r="A865" s="77"/>
      <c r="B865" s="78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7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</row>
    <row r="866" spans="1:33" x14ac:dyDescent="0.25">
      <c r="A866" s="77"/>
      <c r="B866" s="78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7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</row>
    <row r="867" spans="1:33" x14ac:dyDescent="0.25">
      <c r="A867" s="77"/>
      <c r="B867" s="78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7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</row>
    <row r="868" spans="1:33" x14ac:dyDescent="0.25">
      <c r="A868" s="77"/>
      <c r="B868" s="78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7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</row>
    <row r="869" spans="1:33" x14ac:dyDescent="0.25">
      <c r="A869" s="77"/>
      <c r="B869" s="78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7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</row>
    <row r="870" spans="1:33" x14ac:dyDescent="0.25">
      <c r="A870" s="77"/>
      <c r="B870" s="78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7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</row>
    <row r="871" spans="1:33" x14ac:dyDescent="0.25">
      <c r="A871" s="77"/>
      <c r="B871" s="78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7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</row>
    <row r="872" spans="1:33" x14ac:dyDescent="0.25">
      <c r="A872" s="77"/>
      <c r="B872" s="78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7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</row>
    <row r="873" spans="1:33" x14ac:dyDescent="0.25">
      <c r="A873" s="77"/>
      <c r="B873" s="78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7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</row>
    <row r="874" spans="1:33" x14ac:dyDescent="0.25">
      <c r="A874" s="77"/>
      <c r="B874" s="78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7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</row>
    <row r="875" spans="1:33" x14ac:dyDescent="0.25">
      <c r="A875" s="77"/>
      <c r="B875" s="78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7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</row>
    <row r="876" spans="1:33" x14ac:dyDescent="0.25">
      <c r="A876" s="77"/>
      <c r="B876" s="78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7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</row>
    <row r="877" spans="1:33" x14ac:dyDescent="0.25">
      <c r="A877" s="77"/>
      <c r="B877" s="78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7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</row>
    <row r="878" spans="1:33" x14ac:dyDescent="0.25">
      <c r="A878" s="77"/>
      <c r="B878" s="78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7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</row>
    <row r="879" spans="1:33" x14ac:dyDescent="0.25">
      <c r="A879" s="77"/>
      <c r="B879" s="78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7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</row>
    <row r="880" spans="1:33" x14ac:dyDescent="0.25">
      <c r="A880" s="77"/>
      <c r="B880" s="78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7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</row>
    <row r="881" spans="1:33" x14ac:dyDescent="0.25">
      <c r="A881" s="77"/>
      <c r="B881" s="78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7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</row>
    <row r="882" spans="1:33" x14ac:dyDescent="0.25">
      <c r="A882" s="77"/>
      <c r="B882" s="78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7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</row>
    <row r="883" spans="1:33" x14ac:dyDescent="0.25">
      <c r="A883" s="77"/>
      <c r="B883" s="78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7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</row>
    <row r="884" spans="1:33" x14ac:dyDescent="0.25">
      <c r="A884" s="77"/>
      <c r="B884" s="78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7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</row>
    <row r="885" spans="1:33" x14ac:dyDescent="0.25">
      <c r="A885" s="77"/>
      <c r="B885" s="78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7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</row>
    <row r="886" spans="1:33" x14ac:dyDescent="0.25">
      <c r="A886" s="77"/>
      <c r="B886" s="78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7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</row>
    <row r="887" spans="1:33" x14ac:dyDescent="0.25">
      <c r="A887" s="77"/>
      <c r="B887" s="78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7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</row>
    <row r="888" spans="1:33" x14ac:dyDescent="0.25">
      <c r="A888" s="77"/>
      <c r="B888" s="78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7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</row>
    <row r="889" spans="1:33" x14ac:dyDescent="0.25">
      <c r="A889" s="77"/>
      <c r="B889" s="78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7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</row>
    <row r="890" spans="1:33" x14ac:dyDescent="0.25">
      <c r="A890" s="77"/>
      <c r="B890" s="78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7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</row>
    <row r="891" spans="1:33" x14ac:dyDescent="0.25">
      <c r="A891" s="77"/>
      <c r="B891" s="78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7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</row>
    <row r="892" spans="1:33" x14ac:dyDescent="0.25">
      <c r="A892" s="77"/>
      <c r="B892" s="78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7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</row>
    <row r="893" spans="1:33" x14ac:dyDescent="0.25">
      <c r="A893" s="77"/>
      <c r="B893" s="78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7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</row>
    <row r="894" spans="1:33" x14ac:dyDescent="0.25">
      <c r="A894" s="77"/>
      <c r="B894" s="78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7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</row>
    <row r="895" spans="1:33" x14ac:dyDescent="0.25">
      <c r="A895" s="77"/>
      <c r="B895" s="78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7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</row>
    <row r="896" spans="1:33" x14ac:dyDescent="0.25">
      <c r="A896" s="77"/>
      <c r="B896" s="78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7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</row>
    <row r="897" spans="1:33" x14ac:dyDescent="0.25">
      <c r="A897" s="77"/>
      <c r="B897" s="78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7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</row>
    <row r="898" spans="1:33" x14ac:dyDescent="0.25">
      <c r="A898" s="77"/>
      <c r="B898" s="78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7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</row>
    <row r="899" spans="1:33" x14ac:dyDescent="0.25">
      <c r="A899" s="77"/>
      <c r="B899" s="78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7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</row>
    <row r="900" spans="1:33" x14ac:dyDescent="0.25">
      <c r="A900" s="77"/>
      <c r="B900" s="78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7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</row>
    <row r="901" spans="1:33" x14ac:dyDescent="0.25">
      <c r="A901" s="77"/>
      <c r="B901" s="78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7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</row>
    <row r="902" spans="1:33" x14ac:dyDescent="0.25">
      <c r="A902" s="77"/>
      <c r="B902" s="78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7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</row>
    <row r="903" spans="1:33" x14ac:dyDescent="0.25">
      <c r="A903" s="77"/>
      <c r="B903" s="78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7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</row>
    <row r="904" spans="1:33" x14ac:dyDescent="0.25">
      <c r="A904" s="77"/>
      <c r="B904" s="78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7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</row>
    <row r="905" spans="1:33" x14ac:dyDescent="0.25">
      <c r="A905" s="77"/>
      <c r="B905" s="78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7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</row>
    <row r="906" spans="1:33" x14ac:dyDescent="0.25">
      <c r="A906" s="77"/>
      <c r="B906" s="78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7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</row>
    <row r="907" spans="1:33" x14ac:dyDescent="0.25">
      <c r="A907" s="77"/>
      <c r="B907" s="78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7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</row>
    <row r="908" spans="1:33" x14ac:dyDescent="0.25">
      <c r="A908" s="77"/>
      <c r="B908" s="78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7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</row>
    <row r="909" spans="1:33" x14ac:dyDescent="0.25">
      <c r="A909" s="77"/>
      <c r="B909" s="78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7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</row>
    <row r="910" spans="1:33" x14ac:dyDescent="0.25">
      <c r="A910" s="77"/>
      <c r="B910" s="78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7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</row>
    <row r="911" spans="1:33" x14ac:dyDescent="0.25">
      <c r="A911" s="77"/>
      <c r="B911" s="78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7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</row>
    <row r="912" spans="1:33" x14ac:dyDescent="0.25">
      <c r="A912" s="77"/>
      <c r="B912" s="78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7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</row>
    <row r="913" spans="1:33" x14ac:dyDescent="0.25">
      <c r="A913" s="77"/>
      <c r="B913" s="78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7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</row>
    <row r="914" spans="1:33" x14ac:dyDescent="0.25">
      <c r="A914" s="77"/>
      <c r="B914" s="78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7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</row>
    <row r="915" spans="1:33" x14ac:dyDescent="0.25">
      <c r="A915" s="77"/>
      <c r="B915" s="78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7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</row>
    <row r="916" spans="1:33" x14ac:dyDescent="0.25">
      <c r="A916" s="77"/>
      <c r="B916" s="78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7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</row>
    <row r="917" spans="1:33" x14ac:dyDescent="0.25">
      <c r="A917" s="77"/>
      <c r="B917" s="78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7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</row>
    <row r="918" spans="1:33" x14ac:dyDescent="0.25">
      <c r="A918" s="77"/>
      <c r="B918" s="78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7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</row>
    <row r="919" spans="1:33" x14ac:dyDescent="0.25">
      <c r="A919" s="77"/>
      <c r="B919" s="78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7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</row>
    <row r="920" spans="1:33" x14ac:dyDescent="0.25">
      <c r="A920" s="77"/>
      <c r="B920" s="78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7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</row>
    <row r="921" spans="1:33" x14ac:dyDescent="0.25">
      <c r="A921" s="77"/>
      <c r="B921" s="78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7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</row>
    <row r="922" spans="1:33" x14ac:dyDescent="0.25">
      <c r="A922" s="77"/>
      <c r="B922" s="78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7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</row>
    <row r="923" spans="1:33" x14ac:dyDescent="0.25">
      <c r="A923" s="77"/>
      <c r="B923" s="78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7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</row>
    <row r="924" spans="1:33" x14ac:dyDescent="0.25">
      <c r="A924" s="77"/>
      <c r="B924" s="78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7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</row>
    <row r="925" spans="1:33" x14ac:dyDescent="0.25">
      <c r="A925" s="77"/>
      <c r="B925" s="78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7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</row>
    <row r="926" spans="1:33" x14ac:dyDescent="0.25">
      <c r="A926" s="77"/>
      <c r="B926" s="78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7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</row>
    <row r="927" spans="1:33" x14ac:dyDescent="0.25">
      <c r="A927" s="77"/>
      <c r="B927" s="78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7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</row>
    <row r="928" spans="1:33" x14ac:dyDescent="0.25">
      <c r="A928" s="77"/>
      <c r="B928" s="78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7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</row>
    <row r="929" spans="1:33" x14ac:dyDescent="0.25">
      <c r="A929" s="77"/>
      <c r="B929" s="78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7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</row>
    <row r="930" spans="1:33" x14ac:dyDescent="0.25">
      <c r="A930" s="77"/>
      <c r="B930" s="78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7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</row>
    <row r="931" spans="1:33" x14ac:dyDescent="0.25">
      <c r="A931" s="77"/>
      <c r="B931" s="78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7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</row>
    <row r="932" spans="1:33" x14ac:dyDescent="0.25">
      <c r="A932" s="77"/>
      <c r="B932" s="78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7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</row>
    <row r="933" spans="1:33" x14ac:dyDescent="0.25">
      <c r="A933" s="77"/>
      <c r="B933" s="78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7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</row>
    <row r="934" spans="1:33" x14ac:dyDescent="0.25">
      <c r="A934" s="77"/>
      <c r="B934" s="78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7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</row>
    <row r="935" spans="1:33" x14ac:dyDescent="0.25">
      <c r="A935" s="77"/>
      <c r="B935" s="78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7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</row>
    <row r="936" spans="1:33" x14ac:dyDescent="0.25">
      <c r="A936" s="77"/>
      <c r="B936" s="78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7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</row>
    <row r="937" spans="1:33" x14ac:dyDescent="0.25">
      <c r="A937" s="77"/>
      <c r="B937" s="78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7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</row>
    <row r="938" spans="1:33" x14ac:dyDescent="0.25">
      <c r="A938" s="77"/>
      <c r="B938" s="78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7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</row>
    <row r="939" spans="1:33" x14ac:dyDescent="0.25">
      <c r="A939" s="77"/>
      <c r="B939" s="78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7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</row>
    <row r="940" spans="1:33" x14ac:dyDescent="0.25">
      <c r="A940" s="77"/>
      <c r="B940" s="78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7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</row>
    <row r="941" spans="1:33" x14ac:dyDescent="0.25">
      <c r="A941" s="77"/>
      <c r="B941" s="78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7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</row>
    <row r="942" spans="1:33" x14ac:dyDescent="0.25">
      <c r="A942" s="77"/>
      <c r="B942" s="78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7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</row>
    <row r="943" spans="1:33" x14ac:dyDescent="0.25">
      <c r="A943" s="77"/>
      <c r="B943" s="78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7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</row>
    <row r="944" spans="1:33" x14ac:dyDescent="0.25">
      <c r="A944" s="77"/>
      <c r="B944" s="78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7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</row>
    <row r="945" spans="1:33" x14ac:dyDescent="0.25">
      <c r="A945" s="77"/>
      <c r="B945" s="78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7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</row>
    <row r="946" spans="1:33" x14ac:dyDescent="0.25">
      <c r="A946" s="77"/>
      <c r="B946" s="78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7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</row>
    <row r="947" spans="1:33" x14ac:dyDescent="0.25">
      <c r="A947" s="77"/>
      <c r="B947" s="78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7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</row>
    <row r="948" spans="1:33" x14ac:dyDescent="0.25">
      <c r="A948" s="77"/>
      <c r="B948" s="78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7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</row>
    <row r="949" spans="1:33" x14ac:dyDescent="0.25">
      <c r="A949" s="77"/>
      <c r="B949" s="78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7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</row>
    <row r="950" spans="1:33" x14ac:dyDescent="0.25">
      <c r="A950" s="77"/>
      <c r="B950" s="78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7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</row>
    <row r="951" spans="1:33" x14ac:dyDescent="0.25">
      <c r="A951" s="77"/>
      <c r="B951" s="78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7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</row>
    <row r="952" spans="1:33" x14ac:dyDescent="0.25">
      <c r="A952" s="77"/>
      <c r="B952" s="78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7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</row>
    <row r="953" spans="1:33" x14ac:dyDescent="0.25">
      <c r="A953" s="77"/>
      <c r="B953" s="78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7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</row>
    <row r="954" spans="1:33" x14ac:dyDescent="0.25">
      <c r="A954" s="77"/>
      <c r="B954" s="78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7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</row>
    <row r="955" spans="1:33" x14ac:dyDescent="0.25">
      <c r="A955" s="77"/>
      <c r="B955" s="78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7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</row>
    <row r="956" spans="1:33" x14ac:dyDescent="0.25">
      <c r="A956" s="77"/>
      <c r="B956" s="78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7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</row>
    <row r="957" spans="1:33" x14ac:dyDescent="0.25">
      <c r="A957" s="77"/>
      <c r="B957" s="78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7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</row>
    <row r="958" spans="1:33" x14ac:dyDescent="0.25">
      <c r="A958" s="77"/>
      <c r="B958" s="78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7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</row>
    <row r="959" spans="1:33" x14ac:dyDescent="0.25">
      <c r="A959" s="77"/>
      <c r="B959" s="78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7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</row>
    <row r="960" spans="1:33" x14ac:dyDescent="0.25">
      <c r="A960" s="77"/>
      <c r="B960" s="78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7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</row>
    <row r="961" spans="1:33" x14ac:dyDescent="0.25">
      <c r="A961" s="77"/>
      <c r="B961" s="78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7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</row>
    <row r="962" spans="1:33" x14ac:dyDescent="0.25">
      <c r="A962" s="77"/>
      <c r="B962" s="78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7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</row>
    <row r="963" spans="1:33" x14ac:dyDescent="0.25">
      <c r="A963" s="77"/>
      <c r="B963" s="78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7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</row>
    <row r="964" spans="1:33" x14ac:dyDescent="0.25">
      <c r="A964" s="77"/>
      <c r="B964" s="78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7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</row>
    <row r="965" spans="1:33" x14ac:dyDescent="0.25">
      <c r="A965" s="77"/>
      <c r="B965" s="78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7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</row>
    <row r="966" spans="1:33" x14ac:dyDescent="0.25">
      <c r="A966" s="77"/>
      <c r="B966" s="78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7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</row>
    <row r="967" spans="1:33" x14ac:dyDescent="0.25">
      <c r="A967" s="77"/>
      <c r="B967" s="78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7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</row>
    <row r="968" spans="1:33" x14ac:dyDescent="0.25">
      <c r="A968" s="77"/>
      <c r="B968" s="78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7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</row>
    <row r="969" spans="1:33" x14ac:dyDescent="0.25">
      <c r="A969" s="77"/>
      <c r="B969" s="78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7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</row>
    <row r="970" spans="1:33" x14ac:dyDescent="0.25">
      <c r="A970" s="77"/>
      <c r="B970" s="78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7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</row>
    <row r="971" spans="1:33" x14ac:dyDescent="0.25">
      <c r="A971" s="77"/>
      <c r="B971" s="78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7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</row>
    <row r="972" spans="1:33" x14ac:dyDescent="0.25">
      <c r="A972" s="77"/>
      <c r="B972" s="78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7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</row>
    <row r="973" spans="1:33" x14ac:dyDescent="0.25">
      <c r="A973" s="77"/>
      <c r="B973" s="78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7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</row>
    <row r="974" spans="1:33" x14ac:dyDescent="0.25">
      <c r="A974" s="77"/>
      <c r="B974" s="78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7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</row>
    <row r="975" spans="1:33" x14ac:dyDescent="0.25">
      <c r="A975" s="77"/>
      <c r="B975" s="78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7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</row>
    <row r="976" spans="1:33" x14ac:dyDescent="0.25">
      <c r="A976" s="77"/>
      <c r="B976" s="78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7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</row>
    <row r="977" spans="1:33" x14ac:dyDescent="0.25">
      <c r="A977" s="77"/>
      <c r="B977" s="78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7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</row>
    <row r="978" spans="1:33" x14ac:dyDescent="0.25">
      <c r="A978" s="77"/>
      <c r="B978" s="78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7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</row>
    <row r="979" spans="1:33" x14ac:dyDescent="0.25">
      <c r="A979" s="77"/>
      <c r="B979" s="78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7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</row>
    <row r="980" spans="1:33" x14ac:dyDescent="0.25">
      <c r="A980" s="77"/>
      <c r="B980" s="78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7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</row>
    <row r="981" spans="1:33" x14ac:dyDescent="0.25">
      <c r="A981" s="77"/>
      <c r="B981" s="78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7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</row>
    <row r="982" spans="1:33" x14ac:dyDescent="0.25">
      <c r="A982" s="77"/>
      <c r="B982" s="78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7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</row>
    <row r="983" spans="1:33" x14ac:dyDescent="0.25">
      <c r="A983" s="77"/>
      <c r="B983" s="78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7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</row>
    <row r="984" spans="1:33" x14ac:dyDescent="0.25">
      <c r="A984" s="77"/>
      <c r="B984" s="78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7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</row>
    <row r="985" spans="1:33" x14ac:dyDescent="0.25">
      <c r="A985" s="77"/>
      <c r="B985" s="78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7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</row>
    <row r="986" spans="1:33" x14ac:dyDescent="0.25">
      <c r="A986" s="77"/>
      <c r="B986" s="78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7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</row>
    <row r="987" spans="1:33" x14ac:dyDescent="0.25">
      <c r="A987" s="77"/>
      <c r="B987" s="78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7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</row>
    <row r="988" spans="1:33" x14ac:dyDescent="0.25">
      <c r="A988" s="77"/>
      <c r="B988" s="78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7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</row>
    <row r="989" spans="1:33" x14ac:dyDescent="0.25">
      <c r="A989" s="77"/>
      <c r="B989" s="78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7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</row>
    <row r="990" spans="1:33" x14ac:dyDescent="0.25">
      <c r="A990" s="77"/>
      <c r="B990" s="78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7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</row>
    <row r="991" spans="1:33" x14ac:dyDescent="0.25">
      <c r="A991" s="77"/>
      <c r="B991" s="78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7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</row>
    <row r="992" spans="1:33" x14ac:dyDescent="0.25">
      <c r="A992" s="77"/>
      <c r="B992" s="78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7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</row>
    <row r="993" spans="1:33" x14ac:dyDescent="0.25">
      <c r="A993" s="77"/>
      <c r="B993" s="78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7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</row>
    <row r="994" spans="1:33" x14ac:dyDescent="0.25">
      <c r="A994" s="77"/>
      <c r="B994" s="78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7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</row>
    <row r="995" spans="1:33" x14ac:dyDescent="0.25">
      <c r="A995" s="77"/>
      <c r="B995" s="78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7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</row>
    <row r="996" spans="1:33" x14ac:dyDescent="0.25">
      <c r="A996" s="77"/>
      <c r="B996" s="78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7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</row>
    <row r="997" spans="1:33" x14ac:dyDescent="0.25">
      <c r="A997" s="77"/>
      <c r="B997" s="78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7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</row>
    <row r="998" spans="1:33" x14ac:dyDescent="0.25">
      <c r="A998" s="77"/>
      <c r="B998" s="78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7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</row>
    <row r="999" spans="1:33" x14ac:dyDescent="0.25">
      <c r="A999" s="77"/>
      <c r="B999" s="78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7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</row>
    <row r="1000" spans="1:33" x14ac:dyDescent="0.25">
      <c r="A1000" s="77"/>
      <c r="B1000" s="78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7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</row>
    <row r="1001" spans="1:33" x14ac:dyDescent="0.25">
      <c r="A1001" s="77"/>
      <c r="B1001" s="78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7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</row>
    <row r="1002" spans="1:33" x14ac:dyDescent="0.25">
      <c r="A1002" s="77"/>
      <c r="B1002" s="78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7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  <c r="AD1002" s="80"/>
      <c r="AE1002" s="80"/>
      <c r="AF1002" s="80"/>
      <c r="AG1002" s="80"/>
    </row>
    <row r="1003" spans="1:33" x14ac:dyDescent="0.25">
      <c r="A1003" s="77"/>
      <c r="B1003" s="78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7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</row>
    <row r="1004" spans="1:33" x14ac:dyDescent="0.25">
      <c r="A1004" s="77"/>
      <c r="B1004" s="78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7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  <c r="AD1004" s="80"/>
      <c r="AE1004" s="80"/>
      <c r="AF1004" s="80"/>
      <c r="AG1004" s="80"/>
    </row>
    <row r="1005" spans="1:33" x14ac:dyDescent="0.25">
      <c r="A1005" s="77"/>
      <c r="B1005" s="78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7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80"/>
      <c r="AD1005" s="80"/>
      <c r="AE1005" s="80"/>
      <c r="AF1005" s="80"/>
      <c r="AG1005" s="80"/>
    </row>
    <row r="1006" spans="1:33" x14ac:dyDescent="0.25">
      <c r="A1006" s="77"/>
      <c r="B1006" s="78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7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80"/>
      <c r="AD1006" s="80"/>
      <c r="AE1006" s="80"/>
      <c r="AF1006" s="80"/>
      <c r="AG1006" s="80"/>
    </row>
    <row r="1007" spans="1:33" x14ac:dyDescent="0.25">
      <c r="A1007" s="77"/>
      <c r="B1007" s="78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7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80"/>
      <c r="AD1007" s="80"/>
      <c r="AE1007" s="80"/>
      <c r="AF1007" s="80"/>
      <c r="AG1007" s="80"/>
    </row>
    <row r="1008" spans="1:33" x14ac:dyDescent="0.25">
      <c r="A1008" s="77"/>
      <c r="B1008" s="78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7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80"/>
      <c r="AD1008" s="80"/>
      <c r="AE1008" s="80"/>
      <c r="AF1008" s="80"/>
      <c r="AG1008" s="80"/>
    </row>
    <row r="1009" spans="1:33" x14ac:dyDescent="0.25">
      <c r="A1009" s="77"/>
      <c r="B1009" s="78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7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  <c r="AA1009" s="80"/>
      <c r="AB1009" s="80"/>
      <c r="AC1009" s="80"/>
      <c r="AD1009" s="80"/>
      <c r="AE1009" s="80"/>
      <c r="AF1009" s="80"/>
      <c r="AG1009" s="80"/>
    </row>
    <row r="1010" spans="1:33" x14ac:dyDescent="0.25">
      <c r="A1010" s="77"/>
      <c r="B1010" s="78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7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/>
      <c r="AC1010" s="80"/>
      <c r="AD1010" s="80"/>
      <c r="AE1010" s="80"/>
      <c r="AF1010" s="80"/>
      <c r="AG1010" s="80"/>
    </row>
    <row r="1011" spans="1:33" x14ac:dyDescent="0.25">
      <c r="A1011" s="77"/>
      <c r="B1011" s="78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7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80"/>
      <c r="AD1011" s="80"/>
      <c r="AE1011" s="80"/>
      <c r="AF1011" s="80"/>
      <c r="AG1011" s="80"/>
    </row>
    <row r="1012" spans="1:33" x14ac:dyDescent="0.25">
      <c r="A1012" s="77"/>
      <c r="B1012" s="78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7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  <c r="AA1012" s="80"/>
      <c r="AB1012" s="80"/>
      <c r="AC1012" s="80"/>
      <c r="AD1012" s="80"/>
      <c r="AE1012" s="80"/>
      <c r="AF1012" s="80"/>
      <c r="AG1012" s="80"/>
    </row>
    <row r="1013" spans="1:33" x14ac:dyDescent="0.25">
      <c r="A1013" s="77"/>
      <c r="B1013" s="78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7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  <c r="AA1013" s="80"/>
      <c r="AB1013" s="80"/>
      <c r="AC1013" s="80"/>
      <c r="AD1013" s="80"/>
      <c r="AE1013" s="80"/>
      <c r="AF1013" s="80"/>
      <c r="AG1013" s="80"/>
    </row>
    <row r="1014" spans="1:33" x14ac:dyDescent="0.25">
      <c r="A1014" s="77"/>
      <c r="B1014" s="78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7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80"/>
      <c r="AD1014" s="80"/>
      <c r="AE1014" s="80"/>
      <c r="AF1014" s="80"/>
      <c r="AG1014" s="80"/>
    </row>
    <row r="1015" spans="1:33" x14ac:dyDescent="0.25">
      <c r="A1015" s="77"/>
      <c r="B1015" s="78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7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80"/>
      <c r="AD1015" s="80"/>
      <c r="AE1015" s="80"/>
      <c r="AF1015" s="80"/>
      <c r="AG1015" s="80"/>
    </row>
    <row r="1016" spans="1:33" x14ac:dyDescent="0.25">
      <c r="A1016" s="77"/>
      <c r="B1016" s="78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7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80"/>
      <c r="AD1016" s="80"/>
      <c r="AE1016" s="80"/>
      <c r="AF1016" s="80"/>
      <c r="AG1016" s="80"/>
    </row>
    <row r="1017" spans="1:33" x14ac:dyDescent="0.25">
      <c r="A1017" s="77"/>
      <c r="B1017" s="78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7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  <c r="AA1017" s="80"/>
      <c r="AB1017" s="80"/>
      <c r="AC1017" s="80"/>
      <c r="AD1017" s="80"/>
      <c r="AE1017" s="80"/>
      <c r="AF1017" s="80"/>
      <c r="AG1017" s="80"/>
    </row>
    <row r="1018" spans="1:33" x14ac:dyDescent="0.25">
      <c r="A1018" s="77"/>
      <c r="B1018" s="78"/>
      <c r="C1018" s="79"/>
      <c r="D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7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  <c r="AA1018" s="80"/>
      <c r="AB1018" s="80"/>
      <c r="AC1018" s="80"/>
      <c r="AD1018" s="80"/>
      <c r="AE1018" s="80"/>
      <c r="AF1018" s="80"/>
      <c r="AG1018" s="80"/>
    </row>
    <row r="1019" spans="1:33" x14ac:dyDescent="0.25">
      <c r="A1019" s="77"/>
      <c r="B1019" s="78"/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77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80"/>
      <c r="AE1019" s="80"/>
      <c r="AF1019" s="80"/>
      <c r="AG1019" s="80"/>
    </row>
    <row r="1020" spans="1:33" x14ac:dyDescent="0.25">
      <c r="A1020" s="77"/>
      <c r="B1020" s="78"/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77"/>
      <c r="P1020" s="80"/>
      <c r="Q1020" s="80"/>
      <c r="R1020" s="80"/>
      <c r="S1020" s="80"/>
      <c r="T1020" s="80"/>
      <c r="U1020" s="80"/>
      <c r="V1020" s="80"/>
      <c r="W1020" s="80"/>
      <c r="X1020" s="80"/>
      <c r="Y1020" s="80"/>
      <c r="Z1020" s="80"/>
      <c r="AA1020" s="80"/>
      <c r="AB1020" s="80"/>
      <c r="AC1020" s="80"/>
      <c r="AD1020" s="80"/>
      <c r="AE1020" s="80"/>
      <c r="AF1020" s="80"/>
      <c r="AG1020" s="80"/>
    </row>
    <row r="1021" spans="1:33" x14ac:dyDescent="0.25">
      <c r="A1021" s="77"/>
      <c r="B1021" s="78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77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80"/>
      <c r="AD1021" s="80"/>
      <c r="AE1021" s="80"/>
      <c r="AF1021" s="80"/>
      <c r="AG1021" s="80"/>
    </row>
    <row r="1022" spans="1:33" x14ac:dyDescent="0.25">
      <c r="A1022" s="77"/>
      <c r="B1022" s="78"/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77"/>
      <c r="P1022" s="80"/>
      <c r="Q1022" s="80"/>
      <c r="R1022" s="80"/>
      <c r="S1022" s="80"/>
      <c r="T1022" s="80"/>
      <c r="U1022" s="80"/>
      <c r="V1022" s="80"/>
      <c r="W1022" s="80"/>
      <c r="X1022" s="80"/>
      <c r="Y1022" s="80"/>
      <c r="Z1022" s="80"/>
      <c r="AA1022" s="80"/>
      <c r="AB1022" s="80"/>
      <c r="AC1022" s="80"/>
      <c r="AD1022" s="80"/>
      <c r="AE1022" s="80"/>
      <c r="AF1022" s="80"/>
      <c r="AG1022" s="80"/>
    </row>
    <row r="1023" spans="1:33" x14ac:dyDescent="0.25">
      <c r="A1023" s="77"/>
      <c r="B1023" s="78"/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77"/>
      <c r="P1023" s="80"/>
      <c r="Q1023" s="80"/>
      <c r="R1023" s="80"/>
      <c r="S1023" s="80"/>
      <c r="T1023" s="80"/>
      <c r="U1023" s="80"/>
      <c r="V1023" s="80"/>
      <c r="W1023" s="80"/>
      <c r="X1023" s="80"/>
      <c r="Y1023" s="80"/>
      <c r="Z1023" s="80"/>
      <c r="AA1023" s="80"/>
      <c r="AB1023" s="80"/>
      <c r="AC1023" s="80"/>
      <c r="AD1023" s="80"/>
      <c r="AE1023" s="80"/>
      <c r="AF1023" s="80"/>
      <c r="AG1023" s="80"/>
    </row>
    <row r="1024" spans="1:33" x14ac:dyDescent="0.25">
      <c r="A1024" s="77"/>
      <c r="B1024" s="78"/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77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80"/>
      <c r="AE1024" s="80"/>
      <c r="AF1024" s="80"/>
      <c r="AG1024" s="80"/>
    </row>
    <row r="1025" spans="1:33" x14ac:dyDescent="0.25">
      <c r="A1025" s="77"/>
      <c r="B1025" s="78"/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77"/>
      <c r="P1025" s="80"/>
      <c r="Q1025" s="80"/>
      <c r="R1025" s="80"/>
      <c r="S1025" s="80"/>
      <c r="T1025" s="80"/>
      <c r="U1025" s="80"/>
      <c r="V1025" s="80"/>
      <c r="W1025" s="80"/>
      <c r="X1025" s="80"/>
      <c r="Y1025" s="80"/>
      <c r="Z1025" s="80"/>
      <c r="AA1025" s="80"/>
      <c r="AB1025" s="80"/>
      <c r="AC1025" s="80"/>
      <c r="AD1025" s="80"/>
      <c r="AE1025" s="80"/>
      <c r="AF1025" s="80"/>
      <c r="AG1025" s="80"/>
    </row>
    <row r="1026" spans="1:33" x14ac:dyDescent="0.25">
      <c r="A1026" s="77"/>
      <c r="B1026" s="78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77"/>
      <c r="P1026" s="80"/>
      <c r="Q1026" s="80"/>
      <c r="R1026" s="80"/>
      <c r="S1026" s="80"/>
      <c r="T1026" s="80"/>
      <c r="U1026" s="80"/>
      <c r="V1026" s="80"/>
      <c r="W1026" s="80"/>
      <c r="X1026" s="80"/>
      <c r="Y1026" s="80"/>
      <c r="Z1026" s="80"/>
      <c r="AA1026" s="80"/>
      <c r="AB1026" s="80"/>
      <c r="AC1026" s="80"/>
      <c r="AD1026" s="80"/>
      <c r="AE1026" s="80"/>
      <c r="AF1026" s="80"/>
      <c r="AG1026" s="80"/>
    </row>
    <row r="1027" spans="1:33" x14ac:dyDescent="0.25">
      <c r="A1027" s="77"/>
      <c r="B1027" s="78"/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77"/>
      <c r="P1027" s="80"/>
      <c r="Q1027" s="80"/>
      <c r="R1027" s="80"/>
      <c r="S1027" s="80"/>
      <c r="T1027" s="80"/>
      <c r="U1027" s="80"/>
      <c r="V1027" s="80"/>
      <c r="W1027" s="80"/>
      <c r="X1027" s="80"/>
      <c r="Y1027" s="80"/>
      <c r="Z1027" s="80"/>
      <c r="AA1027" s="80"/>
      <c r="AB1027" s="80"/>
      <c r="AC1027" s="80"/>
      <c r="AD1027" s="80"/>
      <c r="AE1027" s="80"/>
      <c r="AF1027" s="80"/>
      <c r="AG1027" s="80"/>
    </row>
    <row r="1028" spans="1:33" x14ac:dyDescent="0.25">
      <c r="A1028" s="77"/>
      <c r="B1028" s="78"/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77"/>
      <c r="P1028" s="80"/>
      <c r="Q1028" s="80"/>
      <c r="R1028" s="80"/>
      <c r="S1028" s="80"/>
      <c r="T1028" s="80"/>
      <c r="U1028" s="80"/>
      <c r="V1028" s="80"/>
      <c r="W1028" s="80"/>
      <c r="X1028" s="80"/>
      <c r="Y1028" s="80"/>
      <c r="Z1028" s="80"/>
      <c r="AA1028" s="80"/>
      <c r="AB1028" s="80"/>
      <c r="AC1028" s="80"/>
      <c r="AD1028" s="80"/>
      <c r="AE1028" s="80"/>
      <c r="AF1028" s="80"/>
      <c r="AG1028" s="80"/>
    </row>
    <row r="1029" spans="1:33" x14ac:dyDescent="0.25">
      <c r="A1029" s="77"/>
      <c r="B1029" s="78"/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77"/>
      <c r="P1029" s="80"/>
      <c r="Q1029" s="80"/>
      <c r="R1029" s="80"/>
      <c r="S1029" s="80"/>
      <c r="T1029" s="80"/>
      <c r="U1029" s="80"/>
      <c r="V1029" s="80"/>
      <c r="W1029" s="80"/>
      <c r="X1029" s="80"/>
      <c r="Y1029" s="80"/>
      <c r="Z1029" s="80"/>
      <c r="AA1029" s="80"/>
      <c r="AB1029" s="80"/>
      <c r="AC1029" s="80"/>
      <c r="AD1029" s="80"/>
      <c r="AE1029" s="80"/>
      <c r="AF1029" s="80"/>
      <c r="AG1029" s="80"/>
    </row>
    <row r="1030" spans="1:33" x14ac:dyDescent="0.25">
      <c r="A1030" s="77"/>
      <c r="B1030" s="78"/>
      <c r="C1030" s="79"/>
      <c r="D1030" s="79"/>
      <c r="E1030" s="79"/>
      <c r="F1030" s="79"/>
      <c r="G1030" s="79"/>
      <c r="H1030" s="79"/>
      <c r="I1030" s="79"/>
      <c r="J1030" s="79"/>
      <c r="K1030" s="79"/>
      <c r="L1030" s="79"/>
      <c r="M1030" s="79"/>
      <c r="N1030" s="79"/>
      <c r="O1030" s="77"/>
      <c r="P1030" s="80"/>
      <c r="Q1030" s="80"/>
      <c r="R1030" s="80"/>
      <c r="S1030" s="80"/>
      <c r="T1030" s="80"/>
      <c r="U1030" s="80"/>
      <c r="V1030" s="80"/>
      <c r="W1030" s="80"/>
      <c r="X1030" s="80"/>
      <c r="Y1030" s="80"/>
      <c r="Z1030" s="80"/>
      <c r="AA1030" s="80"/>
      <c r="AB1030" s="80"/>
      <c r="AC1030" s="80"/>
      <c r="AD1030" s="80"/>
      <c r="AE1030" s="80"/>
      <c r="AF1030" s="80"/>
      <c r="AG1030" s="80"/>
    </row>
    <row r="1031" spans="1:33" x14ac:dyDescent="0.25">
      <c r="A1031" s="77"/>
      <c r="B1031" s="78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77"/>
      <c r="P1031" s="80"/>
      <c r="Q1031" s="80"/>
      <c r="R1031" s="80"/>
      <c r="S1031" s="80"/>
      <c r="T1031" s="80"/>
      <c r="U1031" s="80"/>
      <c r="V1031" s="80"/>
      <c r="W1031" s="80"/>
      <c r="X1031" s="80"/>
      <c r="Y1031" s="80"/>
      <c r="Z1031" s="80"/>
      <c r="AA1031" s="80"/>
      <c r="AB1031" s="80"/>
      <c r="AC1031" s="80"/>
      <c r="AD1031" s="80"/>
      <c r="AE1031" s="80"/>
      <c r="AF1031" s="80"/>
      <c r="AG1031" s="80"/>
    </row>
    <row r="1032" spans="1:33" x14ac:dyDescent="0.25">
      <c r="A1032" s="77"/>
      <c r="B1032" s="78"/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77"/>
      <c r="P1032" s="80"/>
      <c r="Q1032" s="80"/>
      <c r="R1032" s="80"/>
      <c r="S1032" s="80"/>
      <c r="T1032" s="80"/>
      <c r="U1032" s="80"/>
      <c r="V1032" s="80"/>
      <c r="W1032" s="80"/>
      <c r="X1032" s="80"/>
      <c r="Y1032" s="80"/>
      <c r="Z1032" s="80"/>
      <c r="AA1032" s="80"/>
      <c r="AB1032" s="80"/>
      <c r="AC1032" s="80"/>
      <c r="AD1032" s="80"/>
      <c r="AE1032" s="80"/>
      <c r="AF1032" s="80"/>
      <c r="AG1032" s="80"/>
    </row>
    <row r="1033" spans="1:33" x14ac:dyDescent="0.25">
      <c r="A1033" s="77"/>
      <c r="B1033" s="78"/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77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80"/>
      <c r="AD1033" s="80"/>
      <c r="AE1033" s="80"/>
      <c r="AF1033" s="80"/>
      <c r="AG1033" s="80"/>
    </row>
    <row r="1034" spans="1:33" x14ac:dyDescent="0.25">
      <c r="A1034" s="77"/>
      <c r="B1034" s="78"/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77"/>
      <c r="P1034" s="80"/>
      <c r="Q1034" s="80"/>
      <c r="R1034" s="80"/>
      <c r="S1034" s="80"/>
      <c r="T1034" s="80"/>
      <c r="U1034" s="80"/>
      <c r="V1034" s="80"/>
      <c r="W1034" s="80"/>
      <c r="X1034" s="80"/>
      <c r="Y1034" s="80"/>
      <c r="Z1034" s="80"/>
      <c r="AA1034" s="80"/>
      <c r="AB1034" s="80"/>
      <c r="AC1034" s="80"/>
      <c r="AD1034" s="80"/>
      <c r="AE1034" s="80"/>
      <c r="AF1034" s="80"/>
      <c r="AG1034" s="80"/>
    </row>
    <row r="1035" spans="1:33" x14ac:dyDescent="0.25">
      <c r="A1035" s="77"/>
      <c r="B1035" s="78"/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77"/>
      <c r="P1035" s="80"/>
      <c r="Q1035" s="80"/>
      <c r="R1035" s="80"/>
      <c r="S1035" s="80"/>
      <c r="T1035" s="80"/>
      <c r="U1035" s="80"/>
      <c r="V1035" s="80"/>
      <c r="W1035" s="80"/>
      <c r="X1035" s="80"/>
      <c r="Y1035" s="80"/>
      <c r="Z1035" s="80"/>
      <c r="AA1035" s="80"/>
      <c r="AB1035" s="80"/>
      <c r="AC1035" s="80"/>
      <c r="AD1035" s="80"/>
      <c r="AE1035" s="80"/>
      <c r="AF1035" s="80"/>
      <c r="AG1035" s="80"/>
    </row>
    <row r="1036" spans="1:33" x14ac:dyDescent="0.25">
      <c r="A1036" s="77"/>
      <c r="B1036" s="78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77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/>
      <c r="AC1036" s="80"/>
      <c r="AD1036" s="80"/>
      <c r="AE1036" s="80"/>
      <c r="AF1036" s="80"/>
      <c r="AG1036" s="80"/>
    </row>
    <row r="1037" spans="1:33" x14ac:dyDescent="0.25">
      <c r="A1037" s="77"/>
      <c r="B1037" s="78"/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77"/>
      <c r="P1037" s="80"/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80"/>
      <c r="AD1037" s="80"/>
      <c r="AE1037" s="80"/>
      <c r="AF1037" s="80"/>
      <c r="AG1037" s="80"/>
    </row>
    <row r="1038" spans="1:33" x14ac:dyDescent="0.25">
      <c r="A1038" s="77"/>
      <c r="B1038" s="78"/>
      <c r="C1038" s="79"/>
      <c r="D1038" s="79"/>
      <c r="E1038" s="79"/>
      <c r="F1038" s="79"/>
      <c r="G1038" s="79"/>
      <c r="H1038" s="79"/>
      <c r="I1038" s="79"/>
      <c r="J1038" s="79"/>
      <c r="K1038" s="79"/>
      <c r="L1038" s="79"/>
      <c r="M1038" s="79"/>
      <c r="N1038" s="79"/>
      <c r="O1038" s="77"/>
      <c r="P1038" s="80"/>
      <c r="Q1038" s="80"/>
      <c r="R1038" s="80"/>
      <c r="S1038" s="80"/>
      <c r="T1038" s="80"/>
      <c r="U1038" s="80"/>
      <c r="V1038" s="80"/>
      <c r="W1038" s="80"/>
      <c r="X1038" s="80"/>
      <c r="Y1038" s="80"/>
      <c r="Z1038" s="80"/>
      <c r="AA1038" s="80"/>
      <c r="AB1038" s="80"/>
      <c r="AC1038" s="80"/>
      <c r="AD1038" s="80"/>
      <c r="AE1038" s="80"/>
      <c r="AF1038" s="80"/>
      <c r="AG1038" s="80"/>
    </row>
    <row r="1039" spans="1:33" x14ac:dyDescent="0.25">
      <c r="A1039" s="77"/>
      <c r="B1039" s="78"/>
      <c r="C1039" s="79"/>
      <c r="D1039" s="79"/>
      <c r="E1039" s="79"/>
      <c r="F1039" s="79"/>
      <c r="G1039" s="79"/>
      <c r="H1039" s="79"/>
      <c r="I1039" s="79"/>
      <c r="J1039" s="79"/>
      <c r="K1039" s="79"/>
      <c r="L1039" s="79"/>
      <c r="M1039" s="79"/>
      <c r="N1039" s="79"/>
      <c r="O1039" s="77"/>
      <c r="P1039" s="80"/>
      <c r="Q1039" s="80"/>
      <c r="R1039" s="80"/>
      <c r="S1039" s="80"/>
      <c r="T1039" s="80"/>
      <c r="U1039" s="80"/>
      <c r="V1039" s="80"/>
      <c r="W1039" s="80"/>
      <c r="X1039" s="80"/>
      <c r="Y1039" s="80"/>
      <c r="Z1039" s="80"/>
      <c r="AA1039" s="80"/>
      <c r="AB1039" s="80"/>
      <c r="AC1039" s="80"/>
      <c r="AD1039" s="80"/>
      <c r="AE1039" s="80"/>
      <c r="AF1039" s="80"/>
      <c r="AG1039" s="80"/>
    </row>
    <row r="1040" spans="1:33" x14ac:dyDescent="0.25">
      <c r="A1040" s="77"/>
      <c r="B1040" s="78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77"/>
      <c r="P1040" s="80"/>
      <c r="Q1040" s="80"/>
      <c r="R1040" s="80"/>
      <c r="S1040" s="80"/>
      <c r="T1040" s="80"/>
      <c r="U1040" s="80"/>
      <c r="V1040" s="80"/>
      <c r="W1040" s="80"/>
      <c r="X1040" s="80"/>
      <c r="Y1040" s="80"/>
      <c r="Z1040" s="80"/>
      <c r="AA1040" s="80"/>
      <c r="AB1040" s="80"/>
      <c r="AC1040" s="80"/>
      <c r="AD1040" s="80"/>
      <c r="AE1040" s="80"/>
      <c r="AF1040" s="80"/>
      <c r="AG1040" s="80"/>
    </row>
    <row r="1041" spans="1:33" x14ac:dyDescent="0.25">
      <c r="A1041" s="77"/>
      <c r="B1041" s="78"/>
      <c r="C1041" s="79"/>
      <c r="D1041" s="79"/>
      <c r="E1041" s="79"/>
      <c r="F1041" s="79"/>
      <c r="G1041" s="79"/>
      <c r="H1041" s="79"/>
      <c r="I1041" s="79"/>
      <c r="J1041" s="79"/>
      <c r="K1041" s="79"/>
      <c r="L1041" s="79"/>
      <c r="M1041" s="79"/>
      <c r="N1041" s="79"/>
      <c r="O1041" s="77"/>
      <c r="P1041" s="80"/>
      <c r="Q1041" s="80"/>
      <c r="R1041" s="80"/>
      <c r="S1041" s="80"/>
      <c r="T1041" s="80"/>
      <c r="U1041" s="80"/>
      <c r="V1041" s="80"/>
      <c r="W1041" s="80"/>
      <c r="X1041" s="80"/>
      <c r="Y1041" s="80"/>
      <c r="Z1041" s="80"/>
      <c r="AA1041" s="80"/>
      <c r="AB1041" s="80"/>
      <c r="AC1041" s="80"/>
      <c r="AD1041" s="80"/>
      <c r="AE1041" s="80"/>
      <c r="AF1041" s="80"/>
      <c r="AG1041" s="80"/>
    </row>
    <row r="1042" spans="1:33" x14ac:dyDescent="0.25">
      <c r="A1042" s="77"/>
      <c r="B1042" s="78"/>
      <c r="C1042" s="79"/>
      <c r="D1042" s="79"/>
      <c r="E1042" s="79"/>
      <c r="F1042" s="79"/>
      <c r="G1042" s="79"/>
      <c r="H1042" s="79"/>
      <c r="I1042" s="79"/>
      <c r="J1042" s="79"/>
      <c r="K1042" s="79"/>
      <c r="L1042" s="79"/>
      <c r="M1042" s="79"/>
      <c r="N1042" s="79"/>
      <c r="O1042" s="77"/>
      <c r="P1042" s="80"/>
      <c r="Q1042" s="80"/>
      <c r="R1042" s="80"/>
      <c r="S1042" s="80"/>
      <c r="T1042" s="80"/>
      <c r="U1042" s="80"/>
      <c r="V1042" s="80"/>
      <c r="W1042" s="80"/>
      <c r="X1042" s="80"/>
      <c r="Y1042" s="80"/>
      <c r="Z1042" s="80"/>
      <c r="AA1042" s="80"/>
      <c r="AB1042" s="80"/>
      <c r="AC1042" s="80"/>
      <c r="AD1042" s="80"/>
      <c r="AE1042" s="80"/>
      <c r="AF1042" s="80"/>
      <c r="AG1042" s="80"/>
    </row>
    <row r="1043" spans="1:33" x14ac:dyDescent="0.25">
      <c r="A1043" s="77"/>
      <c r="B1043" s="78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77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</row>
    <row r="1044" spans="1:33" x14ac:dyDescent="0.25">
      <c r="A1044" s="77"/>
      <c r="B1044" s="78"/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7"/>
      <c r="P1044" s="80"/>
      <c r="Q1044" s="80"/>
      <c r="R1044" s="80"/>
      <c r="S1044" s="80"/>
      <c r="T1044" s="80"/>
      <c r="U1044" s="80"/>
      <c r="V1044" s="80"/>
      <c r="W1044" s="80"/>
      <c r="X1044" s="80"/>
      <c r="Y1044" s="80"/>
      <c r="Z1044" s="80"/>
      <c r="AA1044" s="80"/>
      <c r="AB1044" s="80"/>
      <c r="AC1044" s="80"/>
      <c r="AD1044" s="80"/>
      <c r="AE1044" s="80"/>
      <c r="AF1044" s="80"/>
      <c r="AG1044" s="80"/>
    </row>
    <row r="1045" spans="1:33" x14ac:dyDescent="0.25">
      <c r="A1045" s="77"/>
      <c r="B1045" s="78"/>
      <c r="C1045" s="79"/>
      <c r="D1045" s="79"/>
      <c r="E1045" s="79"/>
      <c r="F1045" s="79"/>
      <c r="G1045" s="79"/>
      <c r="H1045" s="79"/>
      <c r="I1045" s="79"/>
      <c r="J1045" s="79"/>
      <c r="K1045" s="79"/>
      <c r="L1045" s="79"/>
      <c r="M1045" s="79"/>
      <c r="N1045" s="79"/>
      <c r="O1045" s="77"/>
      <c r="P1045" s="80"/>
      <c r="Q1045" s="80"/>
      <c r="R1045" s="80"/>
      <c r="S1045" s="80"/>
      <c r="T1045" s="80"/>
      <c r="U1045" s="80"/>
      <c r="V1045" s="80"/>
      <c r="W1045" s="80"/>
      <c r="X1045" s="80"/>
      <c r="Y1045" s="80"/>
      <c r="Z1045" s="80"/>
      <c r="AA1045" s="80"/>
      <c r="AB1045" s="80"/>
      <c r="AC1045" s="80"/>
      <c r="AD1045" s="80"/>
      <c r="AE1045" s="80"/>
      <c r="AF1045" s="80"/>
      <c r="AG1045" s="80"/>
    </row>
    <row r="1046" spans="1:33" x14ac:dyDescent="0.25">
      <c r="A1046" s="77"/>
      <c r="B1046" s="78"/>
      <c r="C1046" s="79"/>
      <c r="D1046" s="79"/>
      <c r="E1046" s="79"/>
      <c r="F1046" s="79"/>
      <c r="G1046" s="79"/>
      <c r="H1046" s="79"/>
      <c r="I1046" s="79"/>
      <c r="J1046" s="79"/>
      <c r="K1046" s="79"/>
      <c r="L1046" s="79"/>
      <c r="M1046" s="79"/>
      <c r="N1046" s="79"/>
      <c r="O1046" s="77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80"/>
      <c r="AD1046" s="80"/>
      <c r="AE1046" s="80"/>
      <c r="AF1046" s="80"/>
      <c r="AG1046" s="80"/>
    </row>
    <row r="1047" spans="1:33" x14ac:dyDescent="0.25">
      <c r="A1047" s="77"/>
      <c r="B1047" s="78"/>
      <c r="C1047" s="79"/>
      <c r="D1047" s="79"/>
      <c r="E1047" s="79"/>
      <c r="F1047" s="79"/>
      <c r="G1047" s="79"/>
      <c r="H1047" s="79"/>
      <c r="I1047" s="79"/>
      <c r="J1047" s="79"/>
      <c r="K1047" s="79"/>
      <c r="L1047" s="79"/>
      <c r="M1047" s="79"/>
      <c r="N1047" s="79"/>
      <c r="O1047" s="77"/>
      <c r="P1047" s="80"/>
      <c r="Q1047" s="80"/>
      <c r="R1047" s="80"/>
      <c r="S1047" s="80"/>
      <c r="T1047" s="80"/>
      <c r="U1047" s="80"/>
      <c r="V1047" s="80"/>
      <c r="W1047" s="80"/>
      <c r="X1047" s="80"/>
      <c r="Y1047" s="80"/>
      <c r="Z1047" s="80"/>
      <c r="AA1047" s="80"/>
      <c r="AB1047" s="80"/>
      <c r="AC1047" s="80"/>
      <c r="AD1047" s="80"/>
      <c r="AE1047" s="80"/>
      <c r="AF1047" s="80"/>
      <c r="AG1047" s="80"/>
    </row>
    <row r="1048" spans="1:33" x14ac:dyDescent="0.25">
      <c r="A1048" s="77"/>
      <c r="B1048" s="78"/>
      <c r="C1048" s="79"/>
      <c r="D1048" s="79"/>
      <c r="E1048" s="79"/>
      <c r="F1048" s="79"/>
      <c r="G1048" s="79"/>
      <c r="H1048" s="79"/>
      <c r="I1048" s="79"/>
      <c r="J1048" s="79"/>
      <c r="K1048" s="79"/>
      <c r="L1048" s="79"/>
      <c r="M1048" s="79"/>
      <c r="N1048" s="79"/>
      <c r="O1048" s="77"/>
      <c r="P1048" s="80"/>
      <c r="Q1048" s="80"/>
      <c r="R1048" s="80"/>
      <c r="S1048" s="80"/>
      <c r="T1048" s="80"/>
      <c r="U1048" s="80"/>
      <c r="V1048" s="80"/>
      <c r="W1048" s="80"/>
      <c r="X1048" s="80"/>
      <c r="Y1048" s="80"/>
      <c r="Z1048" s="80"/>
      <c r="AA1048" s="80"/>
      <c r="AB1048" s="80"/>
      <c r="AC1048" s="80"/>
      <c r="AD1048" s="80"/>
      <c r="AE1048" s="80"/>
      <c r="AF1048" s="80"/>
      <c r="AG1048" s="80"/>
    </row>
    <row r="1049" spans="1:33" x14ac:dyDescent="0.25">
      <c r="A1049" s="77"/>
      <c r="B1049" s="78"/>
      <c r="C1049" s="79"/>
      <c r="D1049" s="79"/>
      <c r="E1049" s="79"/>
      <c r="F1049" s="79"/>
      <c r="G1049" s="79"/>
      <c r="H1049" s="79"/>
      <c r="I1049" s="79"/>
      <c r="J1049" s="79"/>
      <c r="K1049" s="79"/>
      <c r="L1049" s="79"/>
      <c r="M1049" s="79"/>
      <c r="N1049" s="79"/>
      <c r="O1049" s="77"/>
      <c r="P1049" s="80"/>
      <c r="Q1049" s="80"/>
      <c r="R1049" s="80"/>
      <c r="S1049" s="80"/>
      <c r="T1049" s="80"/>
      <c r="U1049" s="80"/>
      <c r="V1049" s="80"/>
      <c r="W1049" s="80"/>
      <c r="X1049" s="80"/>
      <c r="Y1049" s="80"/>
      <c r="Z1049" s="80"/>
      <c r="AA1049" s="80"/>
      <c r="AB1049" s="80"/>
      <c r="AC1049" s="80"/>
      <c r="AD1049" s="80"/>
      <c r="AE1049" s="80"/>
      <c r="AF1049" s="80"/>
      <c r="AG1049" s="80"/>
    </row>
    <row r="1050" spans="1:33" x14ac:dyDescent="0.25">
      <c r="A1050" s="77"/>
      <c r="B1050" s="78"/>
      <c r="C1050" s="79"/>
      <c r="D1050" s="79"/>
      <c r="E1050" s="79"/>
      <c r="F1050" s="79"/>
      <c r="G1050" s="79"/>
      <c r="H1050" s="79"/>
      <c r="I1050" s="79"/>
      <c r="J1050" s="79"/>
      <c r="K1050" s="79"/>
      <c r="L1050" s="79"/>
      <c r="M1050" s="79"/>
      <c r="N1050" s="79"/>
      <c r="O1050" s="77"/>
      <c r="P1050" s="80"/>
      <c r="Q1050" s="80"/>
      <c r="R1050" s="80"/>
      <c r="S1050" s="80"/>
      <c r="T1050" s="80"/>
      <c r="U1050" s="80"/>
      <c r="V1050" s="80"/>
      <c r="W1050" s="80"/>
      <c r="X1050" s="80"/>
      <c r="Y1050" s="80"/>
      <c r="Z1050" s="80"/>
      <c r="AA1050" s="80"/>
      <c r="AB1050" s="80"/>
      <c r="AC1050" s="80"/>
      <c r="AD1050" s="80"/>
      <c r="AE1050" s="80"/>
      <c r="AF1050" s="80"/>
      <c r="AG1050" s="80"/>
    </row>
    <row r="1051" spans="1:33" x14ac:dyDescent="0.25">
      <c r="A1051" s="77"/>
      <c r="B1051" s="78"/>
      <c r="C1051" s="79"/>
      <c r="D1051" s="79"/>
      <c r="E1051" s="79"/>
      <c r="F1051" s="79"/>
      <c r="G1051" s="79"/>
      <c r="H1051" s="79"/>
      <c r="I1051" s="79"/>
      <c r="J1051" s="79"/>
      <c r="K1051" s="79"/>
      <c r="L1051" s="79"/>
      <c r="M1051" s="79"/>
      <c r="N1051" s="79"/>
      <c r="O1051" s="77"/>
      <c r="P1051" s="80"/>
      <c r="Q1051" s="80"/>
      <c r="R1051" s="80"/>
      <c r="S1051" s="80"/>
      <c r="T1051" s="80"/>
      <c r="U1051" s="80"/>
      <c r="V1051" s="80"/>
      <c r="W1051" s="80"/>
      <c r="X1051" s="80"/>
      <c r="Y1051" s="80"/>
      <c r="Z1051" s="80"/>
      <c r="AA1051" s="80"/>
      <c r="AB1051" s="80"/>
      <c r="AC1051" s="80"/>
      <c r="AD1051" s="80"/>
      <c r="AE1051" s="80"/>
      <c r="AF1051" s="80"/>
      <c r="AG1051" s="80"/>
    </row>
    <row r="1052" spans="1:33" x14ac:dyDescent="0.25">
      <c r="A1052" s="77"/>
      <c r="B1052" s="78"/>
      <c r="C1052" s="79"/>
      <c r="D1052" s="79"/>
      <c r="E1052" s="79"/>
      <c r="F1052" s="79"/>
      <c r="G1052" s="79"/>
      <c r="H1052" s="79"/>
      <c r="I1052" s="79"/>
      <c r="J1052" s="79"/>
      <c r="K1052" s="79"/>
      <c r="L1052" s="79"/>
      <c r="M1052" s="79"/>
      <c r="N1052" s="79"/>
      <c r="O1052" s="77"/>
      <c r="P1052" s="80"/>
      <c r="Q1052" s="80"/>
      <c r="R1052" s="80"/>
      <c r="S1052" s="80"/>
      <c r="T1052" s="80"/>
      <c r="U1052" s="80"/>
      <c r="V1052" s="80"/>
      <c r="W1052" s="80"/>
      <c r="X1052" s="80"/>
      <c r="Y1052" s="80"/>
      <c r="Z1052" s="80"/>
      <c r="AA1052" s="80"/>
      <c r="AB1052" s="80"/>
      <c r="AC1052" s="80"/>
      <c r="AD1052" s="80"/>
      <c r="AE1052" s="80"/>
      <c r="AF1052" s="80"/>
      <c r="AG1052" s="80"/>
    </row>
    <row r="1053" spans="1:33" x14ac:dyDescent="0.25">
      <c r="A1053" s="77"/>
      <c r="B1053" s="78"/>
      <c r="C1053" s="79"/>
      <c r="D1053" s="79"/>
      <c r="E1053" s="79"/>
      <c r="F1053" s="79"/>
      <c r="G1053" s="79"/>
      <c r="H1053" s="79"/>
      <c r="I1053" s="79"/>
      <c r="J1053" s="79"/>
      <c r="K1053" s="79"/>
      <c r="L1053" s="79"/>
      <c r="M1053" s="79"/>
      <c r="N1053" s="79"/>
      <c r="O1053" s="77"/>
      <c r="P1053" s="80"/>
      <c r="Q1053" s="80"/>
      <c r="R1053" s="80"/>
      <c r="S1053" s="80"/>
      <c r="T1053" s="80"/>
      <c r="U1053" s="80"/>
      <c r="V1053" s="80"/>
      <c r="W1053" s="80"/>
      <c r="X1053" s="80"/>
      <c r="Y1053" s="80"/>
      <c r="Z1053" s="80"/>
      <c r="AA1053" s="80"/>
      <c r="AB1053" s="80"/>
      <c r="AC1053" s="80"/>
      <c r="AD1053" s="80"/>
      <c r="AE1053" s="80"/>
      <c r="AF1053" s="80"/>
      <c r="AG1053" s="80"/>
    </row>
    <row r="1054" spans="1:33" x14ac:dyDescent="0.25">
      <c r="A1054" s="77"/>
      <c r="B1054" s="78"/>
      <c r="C1054" s="79"/>
      <c r="D1054" s="79"/>
      <c r="E1054" s="79"/>
      <c r="F1054" s="79"/>
      <c r="G1054" s="79"/>
      <c r="H1054" s="79"/>
      <c r="I1054" s="79"/>
      <c r="J1054" s="79"/>
      <c r="K1054" s="79"/>
      <c r="L1054" s="79"/>
      <c r="M1054" s="79"/>
      <c r="N1054" s="79"/>
      <c r="O1054" s="77"/>
      <c r="P1054" s="80"/>
      <c r="Q1054" s="80"/>
      <c r="R1054" s="80"/>
      <c r="S1054" s="80"/>
      <c r="T1054" s="80"/>
      <c r="U1054" s="80"/>
      <c r="V1054" s="80"/>
      <c r="W1054" s="80"/>
      <c r="X1054" s="80"/>
      <c r="Y1054" s="80"/>
      <c r="Z1054" s="80"/>
      <c r="AA1054" s="80"/>
      <c r="AB1054" s="80"/>
      <c r="AC1054" s="80"/>
      <c r="AD1054" s="80"/>
      <c r="AE1054" s="80"/>
      <c r="AF1054" s="80"/>
      <c r="AG1054" s="80"/>
    </row>
    <row r="1055" spans="1:33" x14ac:dyDescent="0.25">
      <c r="A1055" s="77"/>
      <c r="B1055" s="78"/>
      <c r="C1055" s="79"/>
      <c r="D1055" s="79"/>
      <c r="E1055" s="79"/>
      <c r="F1055" s="79"/>
      <c r="G1055" s="79"/>
      <c r="H1055" s="79"/>
      <c r="I1055" s="79"/>
      <c r="J1055" s="79"/>
      <c r="K1055" s="79"/>
      <c r="L1055" s="79"/>
      <c r="M1055" s="79"/>
      <c r="N1055" s="79"/>
      <c r="O1055" s="77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80"/>
      <c r="AD1055" s="80"/>
      <c r="AE1055" s="80"/>
      <c r="AF1055" s="80"/>
      <c r="AG1055" s="80"/>
    </row>
    <row r="1056" spans="1:33" x14ac:dyDescent="0.25">
      <c r="A1056" s="77"/>
      <c r="B1056" s="78"/>
      <c r="C1056" s="79"/>
      <c r="D1056" s="79"/>
      <c r="E1056" s="79"/>
      <c r="F1056" s="79"/>
      <c r="G1056" s="79"/>
      <c r="H1056" s="79"/>
      <c r="I1056" s="79"/>
      <c r="J1056" s="79"/>
      <c r="K1056" s="79"/>
      <c r="L1056" s="79"/>
      <c r="M1056" s="79"/>
      <c r="N1056" s="79"/>
      <c r="O1056" s="77"/>
      <c r="P1056" s="80"/>
      <c r="Q1056" s="80"/>
      <c r="R1056" s="80"/>
      <c r="S1056" s="80"/>
      <c r="T1056" s="80"/>
      <c r="U1056" s="80"/>
      <c r="V1056" s="80"/>
      <c r="W1056" s="80"/>
      <c r="X1056" s="80"/>
      <c r="Y1056" s="80"/>
      <c r="Z1056" s="80"/>
      <c r="AA1056" s="80"/>
      <c r="AB1056" s="80"/>
      <c r="AC1056" s="80"/>
      <c r="AD1056" s="80"/>
      <c r="AE1056" s="80"/>
      <c r="AF1056" s="80"/>
      <c r="AG1056" s="80"/>
    </row>
    <row r="1057" spans="1:33" x14ac:dyDescent="0.25">
      <c r="A1057" s="77"/>
      <c r="B1057" s="78"/>
      <c r="C1057" s="79"/>
      <c r="D1057" s="79"/>
      <c r="E1057" s="79"/>
      <c r="F1057" s="79"/>
      <c r="G1057" s="79"/>
      <c r="H1057" s="79"/>
      <c r="I1057" s="79"/>
      <c r="J1057" s="79"/>
      <c r="K1057" s="79"/>
      <c r="L1057" s="79"/>
      <c r="M1057" s="79"/>
      <c r="N1057" s="79"/>
      <c r="O1057" s="77"/>
      <c r="P1057" s="80"/>
      <c r="Q1057" s="80"/>
      <c r="R1057" s="80"/>
      <c r="S1057" s="80"/>
      <c r="T1057" s="80"/>
      <c r="U1057" s="80"/>
      <c r="V1057" s="80"/>
      <c r="W1057" s="80"/>
      <c r="X1057" s="80"/>
      <c r="Y1057" s="80"/>
      <c r="Z1057" s="80"/>
      <c r="AA1057" s="80"/>
      <c r="AB1057" s="80"/>
      <c r="AC1057" s="80"/>
      <c r="AD1057" s="80"/>
      <c r="AE1057" s="80"/>
      <c r="AF1057" s="80"/>
      <c r="AG1057" s="80"/>
    </row>
    <row r="1058" spans="1:33" x14ac:dyDescent="0.25">
      <c r="A1058" s="77"/>
      <c r="B1058" s="78"/>
      <c r="C1058" s="79"/>
      <c r="D1058" s="79"/>
      <c r="E1058" s="79"/>
      <c r="F1058" s="79"/>
      <c r="G1058" s="79"/>
      <c r="H1058" s="79"/>
      <c r="I1058" s="79"/>
      <c r="J1058" s="79"/>
      <c r="K1058" s="79"/>
      <c r="L1058" s="79"/>
      <c r="M1058" s="79"/>
      <c r="N1058" s="79"/>
      <c r="O1058" s="77"/>
      <c r="P1058" s="80"/>
      <c r="Q1058" s="80"/>
      <c r="R1058" s="80"/>
      <c r="S1058" s="80"/>
      <c r="T1058" s="80"/>
      <c r="U1058" s="80"/>
      <c r="V1058" s="80"/>
      <c r="W1058" s="80"/>
      <c r="X1058" s="80"/>
      <c r="Y1058" s="80"/>
      <c r="Z1058" s="80"/>
      <c r="AA1058" s="80"/>
      <c r="AB1058" s="80"/>
      <c r="AC1058" s="80"/>
      <c r="AD1058" s="80"/>
      <c r="AE1058" s="80"/>
      <c r="AF1058" s="80"/>
      <c r="AG1058" s="80"/>
    </row>
    <row r="1059" spans="1:33" x14ac:dyDescent="0.25">
      <c r="A1059" s="77"/>
      <c r="B1059" s="78"/>
      <c r="C1059" s="79"/>
      <c r="D1059" s="79"/>
      <c r="E1059" s="79"/>
      <c r="F1059" s="79"/>
      <c r="G1059" s="79"/>
      <c r="H1059" s="79"/>
      <c r="I1059" s="79"/>
      <c r="J1059" s="79"/>
      <c r="K1059" s="79"/>
      <c r="L1059" s="79"/>
      <c r="M1059" s="79"/>
      <c r="N1059" s="79"/>
      <c r="O1059" s="77"/>
      <c r="P1059" s="80"/>
      <c r="Q1059" s="80"/>
      <c r="R1059" s="80"/>
      <c r="S1059" s="80"/>
      <c r="T1059" s="80"/>
      <c r="U1059" s="80"/>
      <c r="V1059" s="80"/>
      <c r="W1059" s="80"/>
      <c r="X1059" s="80"/>
      <c r="Y1059" s="80"/>
      <c r="Z1059" s="80"/>
      <c r="AA1059" s="80"/>
      <c r="AB1059" s="80"/>
      <c r="AC1059" s="80"/>
      <c r="AD1059" s="80"/>
      <c r="AE1059" s="80"/>
      <c r="AF1059" s="80"/>
      <c r="AG1059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RESULT</vt:lpstr>
      <vt:lpstr>DIAGNOSTIC EXAMINATION</vt:lpstr>
      <vt:lpstr>PROGRESS EVALUATION</vt:lpstr>
      <vt:lpstr>MOCK BOARDS</vt:lpstr>
      <vt:lpstr>POS TEST RESULT WEIGHTED</vt:lpstr>
      <vt:lpstr>POST TEST 1</vt:lpstr>
      <vt:lpstr>POST TEST 2</vt:lpstr>
      <vt:lpstr>PRE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2026-07-16T16:18:13Z</dcterms:modified>
</cp:coreProperties>
</file>